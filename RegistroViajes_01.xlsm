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02fed180f440e51/Documentos/Pruebas Excel/CABIFY PRUEBAS/RegistroViajes/Pr01/"/>
    </mc:Choice>
  </mc:AlternateContent>
  <xr:revisionPtr revIDLastSave="121" documentId="8_{56ECAD21-5E19-4B7A-9183-DCA5E5336F6B}" xr6:coauthVersionLast="47" xr6:coauthVersionMax="47" xr10:uidLastSave="{33B967B8-6FCA-41FC-B174-230514BA77AD}"/>
  <bookViews>
    <workbookView xWindow="-19320" yWindow="-120" windowWidth="19440" windowHeight="15000" tabRatio="834" activeTab="4" xr2:uid="{00000000-000D-0000-FFFF-FFFF00000000}"/>
  </bookViews>
  <sheets>
    <sheet name="DASHBOARD" sheetId="3" r:id="rId1"/>
    <sheet name="SALIDAS" sheetId="1" r:id="rId2"/>
    <sheet name="VIAJES" sheetId="2" r:id="rId3"/>
    <sheet name="CARGA-COMBUSTIBLE" sheetId="5" r:id="rId4"/>
    <sheet name="Hoja-TablaCalculosSalidas" sheetId="6" r:id="rId5"/>
    <sheet name="Hoja-TablaCalculosViajes" sheetId="7" r:id="rId6"/>
    <sheet name="Hoja-TablaCalculosCombustible" sheetId="8" r:id="rId7"/>
    <sheet name="VEHICULO" sheetId="4" r:id="rId8"/>
    <sheet name="DatosExtras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A3" authorId="0" shapeId="0" xr:uid="{673A0A76-947F-46DF-8BC0-0A9E2B501D5B}">
      <text>
        <r>
          <rPr>
            <b/>
            <sz val="9"/>
            <color indexed="81"/>
            <rFont val="Tahoma"/>
            <family val="2"/>
          </rPr>
          <t xml:space="preserve">IDSALIDA:
</t>
        </r>
        <r>
          <rPr>
            <sz val="9"/>
            <color indexed="81"/>
            <rFont val="Tahoma"/>
            <family val="2"/>
          </rPr>
          <t>Primera letra "S" corresponde a que es una Salida. Se le agrega 3 letras del mes más un nro de orden correlativo a cada salida.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A3" authorId="0" shapeId="0" xr:uid="{AF55AF3A-53A4-4E7C-AA8E-F94AA24890B2}">
      <text>
        <r>
          <rPr>
            <b/>
            <sz val="9"/>
            <color indexed="81"/>
            <rFont val="Tahoma"/>
            <family val="2"/>
          </rPr>
          <t xml:space="preserve">IDVIAJE:
</t>
        </r>
        <r>
          <rPr>
            <sz val="9"/>
            <color indexed="81"/>
            <rFont val="Tahoma"/>
            <family val="2"/>
          </rPr>
          <t>Deriva del IDSALIDA y se le agrega un nro de orden correspondiente a cada viaje.</t>
        </r>
      </text>
    </comment>
    <comment ref="C3" authorId="0" shapeId="0" xr:uid="{AC05FBD0-45BD-4B16-B6CC-E0E58DC14210}">
      <text>
        <r>
          <rPr>
            <sz val="9"/>
            <color indexed="81"/>
            <rFont val="Tahoma"/>
            <family val="2"/>
          </rPr>
          <t>Monto para mí (quitando la comisión de la app)</t>
        </r>
      </text>
    </comment>
    <comment ref="D3" authorId="0" shapeId="0" xr:uid="{B1DDBBCE-D9E4-48DA-8368-4C2F458A6064}">
      <text>
        <r>
          <rPr>
            <sz val="9"/>
            <color indexed="81"/>
            <rFont val="Tahoma"/>
            <family val="2"/>
          </rPr>
          <t>Monto cobrado al pasajero.</t>
        </r>
      </text>
    </comment>
    <comment ref="E3" authorId="0" shapeId="0" xr:uid="{2ECE8383-19AC-4CCF-8B40-40C8F5F5D830}">
      <text>
        <r>
          <rPr>
            <sz val="9"/>
            <color indexed="81"/>
            <rFont val="Tahoma"/>
            <family val="2"/>
          </rPr>
          <t>Metodo de pago, efectivo o por la app.</t>
        </r>
      </text>
    </comment>
    <comment ref="F3" authorId="0" shapeId="0" xr:uid="{CA5860E1-7E87-4204-BEFC-6B4F7C0BF5A2}">
      <text>
        <r>
          <rPr>
            <sz val="9"/>
            <color indexed="81"/>
            <rFont val="Tahoma"/>
            <family val="2"/>
          </rPr>
          <t>Si es alta demanda o normal. Multiplicador.</t>
        </r>
      </text>
    </comment>
    <comment ref="G3" authorId="0" shapeId="0" xr:uid="{AFBC39DC-AA92-40C6-B886-CB3F88A777E1}">
      <text>
        <r>
          <rPr>
            <sz val="9"/>
            <color indexed="81"/>
            <rFont val="Tahoma"/>
            <family val="2"/>
          </rPr>
          <t>Duración del viaje.</t>
        </r>
      </text>
    </comment>
    <comment ref="H3" authorId="0" shapeId="0" xr:uid="{314CD9E7-8221-43A5-886B-476E62D7D085}">
      <text>
        <r>
          <rPr>
            <sz val="9"/>
            <color indexed="81"/>
            <rFont val="Tahoma"/>
            <family val="2"/>
          </rPr>
          <t>Distancia recorrida (kms)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A3" authorId="0" shapeId="0" xr:uid="{61A7F93C-BF5E-44E8-89CB-A397A8E55AD2}">
      <text>
        <r>
          <rPr>
            <b/>
            <sz val="9"/>
            <color indexed="81"/>
            <rFont val="Tahoma"/>
            <family val="2"/>
          </rPr>
          <t>IDCARGA:</t>
        </r>
        <r>
          <rPr>
            <sz val="9"/>
            <color indexed="81"/>
            <rFont val="Tahoma"/>
            <family val="2"/>
          </rPr>
          <t xml:space="preserve">
Primera letra "C" corresponde a que es una carga de combustible. Se le agrega 3 letras del mes más un nro de orden correlativo a cada salida.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A3" authorId="0" shapeId="0" xr:uid="{2C0882AB-85C2-4641-89C2-B4887B2D7056}">
      <text>
        <r>
          <rPr>
            <b/>
            <sz val="9"/>
            <color indexed="81"/>
            <rFont val="Tahoma"/>
            <charset val="1"/>
          </rPr>
          <t>IDVIAJE:</t>
        </r>
        <r>
          <rPr>
            <sz val="9"/>
            <color indexed="81"/>
            <rFont val="Tahoma"/>
            <family val="2"/>
          </rPr>
          <t xml:space="preserve">
Deriva del IDSALIDA y se le agrega un nro de orden correspondiente a cada viaje.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D3" authorId="0" shapeId="0" xr:uid="{D9D74186-111D-456F-B859-DC3BE8678B6F}">
      <text>
        <r>
          <rPr>
            <sz val="9"/>
            <color indexed="81"/>
            <rFont val="Tahoma"/>
            <family val="2"/>
          </rPr>
          <t>Diferencia de fechas  la última carga realizada.</t>
        </r>
      </text>
    </comment>
    <comment ref="E3" authorId="0" shapeId="0" xr:uid="{DC2630F1-F9DF-4B53-9ABE-EA7A7ED4D5F4}">
      <text>
        <r>
          <rPr>
            <sz val="9"/>
            <color indexed="81"/>
            <rFont val="Tahoma"/>
            <family val="2"/>
          </rPr>
          <t>Diferencia del precio de la nafta con respecto a la última carga realizada.</t>
        </r>
      </text>
    </comment>
    <comment ref="F3" authorId="0" shapeId="0" xr:uid="{7F790C01-D548-48C9-B1AE-F08CF96E79DD}">
      <text>
        <r>
          <rPr>
            <sz val="9"/>
            <color indexed="81"/>
            <rFont val="Tahoma"/>
            <family val="2"/>
          </rPr>
          <t>Porcentaje de la diferencia del precio de la nafta con respecto a la última carga realizada.</t>
        </r>
      </text>
    </comment>
  </commentList>
</comments>
</file>

<file path=xl/sharedStrings.xml><?xml version="1.0" encoding="utf-8"?>
<sst xmlns="http://schemas.openxmlformats.org/spreadsheetml/2006/main" count="662" uniqueCount="428">
  <si>
    <t>idsalida</t>
  </si>
  <si>
    <t>fecha</t>
  </si>
  <si>
    <t>hora ini</t>
  </si>
  <si>
    <t>kms ini</t>
  </si>
  <si>
    <t>hora fin</t>
  </si>
  <si>
    <t>kms fin</t>
  </si>
  <si>
    <t>kms vacio</t>
  </si>
  <si>
    <t>DATOS DEL VEHICULO</t>
  </si>
  <si>
    <t>CONSUMO CADA 100 KMs</t>
  </si>
  <si>
    <t>RUTA</t>
  </si>
  <si>
    <t>CIUDAD</t>
  </si>
  <si>
    <t>MIXTO</t>
  </si>
  <si>
    <t>Litros</t>
  </si>
  <si>
    <t>CAPACIDAD TANQUE COMBUSTIBLE</t>
  </si>
  <si>
    <t>idviaje</t>
  </si>
  <si>
    <t>hora</t>
  </si>
  <si>
    <t>m_mio</t>
  </si>
  <si>
    <t>m_cobrado</t>
  </si>
  <si>
    <t>demanda</t>
  </si>
  <si>
    <t>duración</t>
  </si>
  <si>
    <t>distancia</t>
  </si>
  <si>
    <t>metodo_pago</t>
  </si>
  <si>
    <t>SALIDAS</t>
  </si>
  <si>
    <t>VIAJES</t>
  </si>
  <si>
    <t>TABLA CALCULOS DE SALIDAS</t>
  </si>
  <si>
    <t>NroDia</t>
  </si>
  <si>
    <t>NroSemana</t>
  </si>
  <si>
    <t>TpoConectado</t>
  </si>
  <si>
    <t>KMsApp</t>
  </si>
  <si>
    <t>KMsVacio</t>
  </si>
  <si>
    <t>KMsTotales</t>
  </si>
  <si>
    <t>LitrosApp</t>
  </si>
  <si>
    <t>LitrosVacio</t>
  </si>
  <si>
    <t>LitrosTotales</t>
  </si>
  <si>
    <t>TABLA CALCULOS VIAJES</t>
  </si>
  <si>
    <t>PorcApp</t>
  </si>
  <si>
    <t>PorcMio</t>
  </si>
  <si>
    <t>Litros(aprox)</t>
  </si>
  <si>
    <t>4:29:00 PM</t>
  </si>
  <si>
    <t>3:00:00 AM</t>
  </si>
  <si>
    <t>10:40:00 AM</t>
  </si>
  <si>
    <t>21</t>
  </si>
  <si>
    <t>11:00:00 AM</t>
  </si>
  <si>
    <t>ConsumoPesos</t>
  </si>
  <si>
    <t>FECHA</t>
  </si>
  <si>
    <t>YPF</t>
  </si>
  <si>
    <t>SUPER</t>
  </si>
  <si>
    <t>MARCA</t>
  </si>
  <si>
    <t>TIPO_NAFTA</t>
  </si>
  <si>
    <t>PRECIO</t>
  </si>
  <si>
    <t>CANT_LITROS</t>
  </si>
  <si>
    <t>MONTO_PAGADO</t>
  </si>
  <si>
    <t>KILOMETROS</t>
  </si>
  <si>
    <t>DIANRO</t>
  </si>
  <si>
    <t>SEMNRO</t>
  </si>
  <si>
    <t>TABLA CALCULOS CARGA DE COMBUSTIBLE</t>
  </si>
  <si>
    <t>CARGA DE COMBUSTIBLE</t>
  </si>
  <si>
    <t>DATOS COMBUSTIBLE</t>
  </si>
  <si>
    <t>Tipo_Combustible</t>
  </si>
  <si>
    <t>INFINIA</t>
  </si>
  <si>
    <t>EURO DIESEL</t>
  </si>
  <si>
    <t>INFINIA DIESEL</t>
  </si>
  <si>
    <t>ULTRADIESEL</t>
  </si>
  <si>
    <t>SHELL</t>
  </si>
  <si>
    <t>AXION</t>
  </si>
  <si>
    <t>GULF</t>
  </si>
  <si>
    <t>PETROBRAS</t>
  </si>
  <si>
    <t>V-POWER</t>
  </si>
  <si>
    <t>EVOLUX DIESEL 800</t>
  </si>
  <si>
    <t>V-POWER DIESEL</t>
  </si>
  <si>
    <t>EVOLUX DIESEL 500</t>
  </si>
  <si>
    <t>QUANTIUM</t>
  </si>
  <si>
    <t>PRIX 90</t>
  </si>
  <si>
    <t>PODIUM 100</t>
  </si>
  <si>
    <t>TURBO ADITIVA</t>
  </si>
  <si>
    <t>SUPER ADITIVA</t>
  </si>
  <si>
    <t>GRID 95</t>
  </si>
  <si>
    <t>MARCA Y TIPO DE NAFTA</t>
  </si>
  <si>
    <t>VALOR</t>
  </si>
  <si>
    <t>Marca01</t>
  </si>
  <si>
    <t>Marca02</t>
  </si>
  <si>
    <t>Marca03</t>
  </si>
  <si>
    <t>Marca04</t>
  </si>
  <si>
    <t>Marca05</t>
  </si>
  <si>
    <t>Autonomia (aprox.)</t>
  </si>
  <si>
    <t>Kms.</t>
  </si>
  <si>
    <t>Kms</t>
  </si>
  <si>
    <t>DIF_FECHA_UCARGA</t>
  </si>
  <si>
    <t>PORC_MONTO_UCARGA</t>
  </si>
  <si>
    <t>DIF_PNAFTA_UCARGA</t>
  </si>
  <si>
    <t>VEHICULO</t>
  </si>
  <si>
    <t>Marca</t>
  </si>
  <si>
    <t>Modelo</t>
  </si>
  <si>
    <t>Año</t>
  </si>
  <si>
    <t>Uno Way 1.3</t>
  </si>
  <si>
    <t>Fiat</t>
  </si>
  <si>
    <t>Tanque</t>
  </si>
  <si>
    <t>DIF_KMS</t>
  </si>
  <si>
    <t>IDCARGA</t>
  </si>
  <si>
    <t>AUTOCITY</t>
  </si>
  <si>
    <t>AUTORUTA</t>
  </si>
  <si>
    <t>AUTOMIX</t>
  </si>
  <si>
    <t>capacidad tanque/distancia recorrida=cantidad consumida x km</t>
  </si>
  <si>
    <t>Distancia recorrida/Capacidad tanque=km/l</t>
  </si>
  <si>
    <t>KMS X LITRO</t>
  </si>
  <si>
    <t>Lts/100KM.</t>
  </si>
  <si>
    <t>Kms/Lt</t>
  </si>
  <si>
    <t xml:space="preserve"> </t>
  </si>
  <si>
    <t>ypf</t>
  </si>
  <si>
    <t>super</t>
  </si>
  <si>
    <t>CSEP0001</t>
  </si>
  <si>
    <t>21/9/2022</t>
  </si>
  <si>
    <t>CSEP0002</t>
  </si>
  <si>
    <t>24/9/2022</t>
  </si>
  <si>
    <t>COCT0003</t>
  </si>
  <si>
    <t>2/10/2022</t>
  </si>
  <si>
    <t>SJUN0001</t>
  </si>
  <si>
    <t>28/6/2022</t>
  </si>
  <si>
    <t>1:11:00 PM</t>
  </si>
  <si>
    <t>4:21:00 PM</t>
  </si>
  <si>
    <t>3:10:00 AM</t>
  </si>
  <si>
    <t>0</t>
  </si>
  <si>
    <t>5.355</t>
  </si>
  <si>
    <t>SJUN0002</t>
  </si>
  <si>
    <t>29/6/2022</t>
  </si>
  <si>
    <t>10:50:00 AM</t>
  </si>
  <si>
    <t>2:40:00 PM</t>
  </si>
  <si>
    <t>3:50:00 AM</t>
  </si>
  <si>
    <t>5.27</t>
  </si>
  <si>
    <t>SJUN0003</t>
  </si>
  <si>
    <t>30/6/2022</t>
  </si>
  <si>
    <t>3:05:00 PM</t>
  </si>
  <si>
    <t>4:25:00 AM</t>
  </si>
  <si>
    <t>6.29</t>
  </si>
  <si>
    <t>SJUL0004</t>
  </si>
  <si>
    <t>1/7/2022</t>
  </si>
  <si>
    <t>10:25:00 AM</t>
  </si>
  <si>
    <t>1:25:00 PM</t>
  </si>
  <si>
    <t>5.015</t>
  </si>
  <si>
    <t>SJUL0005</t>
  </si>
  <si>
    <t>4/7/2022</t>
  </si>
  <si>
    <t>1:05:00 PM</t>
  </si>
  <si>
    <t>4:44:00 PM</t>
  </si>
  <si>
    <t>3:39:00 AM</t>
  </si>
  <si>
    <t>SJUL0006</t>
  </si>
  <si>
    <t>5/7/2022</t>
  </si>
  <si>
    <t>1:10:00 PM</t>
  </si>
  <si>
    <t>3:19:00 AM</t>
  </si>
  <si>
    <t>48</t>
  </si>
  <si>
    <t>4.08</t>
  </si>
  <si>
    <t>SJUL0007</t>
  </si>
  <si>
    <t>11/7/2022</t>
  </si>
  <si>
    <t>1:15:00 PM</t>
  </si>
  <si>
    <t>4:25:00 PM</t>
  </si>
  <si>
    <t>4.25</t>
  </si>
  <si>
    <t>SJUL0008</t>
  </si>
  <si>
    <t>12/7/2022</t>
  </si>
  <si>
    <t>10:00:00 AM</t>
  </si>
  <si>
    <t>3:15:00 PM</t>
  </si>
  <si>
    <t>5:15:00 AM</t>
  </si>
  <si>
    <t>5</t>
  </si>
  <si>
    <t>7.395</t>
  </si>
  <si>
    <t>0.425</t>
  </si>
  <si>
    <t>7.82</t>
  </si>
  <si>
    <t>SJUL0009</t>
  </si>
  <si>
    <t>13/7/2022</t>
  </si>
  <si>
    <t>11:10:00 AM</t>
  </si>
  <si>
    <t>12:15:00 PM</t>
  </si>
  <si>
    <t>1:05:00 AM</t>
  </si>
  <si>
    <t>1.53</t>
  </si>
  <si>
    <t>SJUL0010</t>
  </si>
  <si>
    <t>16/7/2022</t>
  </si>
  <si>
    <t>2:00:00 PM</t>
  </si>
  <si>
    <t>4:35:00 PM</t>
  </si>
  <si>
    <t>2:35:00 AM</t>
  </si>
  <si>
    <t>4.675</t>
  </si>
  <si>
    <t>5.1</t>
  </si>
  <si>
    <t>SJUL0011</t>
  </si>
  <si>
    <t>20/7/2022</t>
  </si>
  <si>
    <t>5:03:00 PM</t>
  </si>
  <si>
    <t>6:03:00 AM</t>
  </si>
  <si>
    <t>34969</t>
  </si>
  <si>
    <t>35083</t>
  </si>
  <si>
    <t>9.69</t>
  </si>
  <si>
    <t>SJUL0012</t>
  </si>
  <si>
    <t>26/7/2022</t>
  </si>
  <si>
    <t>5:17:00 PM</t>
  </si>
  <si>
    <t>6:43:00 PM</t>
  </si>
  <si>
    <t>1:26:00 AM</t>
  </si>
  <si>
    <t>6</t>
  </si>
  <si>
    <t>0.51</t>
  </si>
  <si>
    <t>36130</t>
  </si>
  <si>
    <t>36151</t>
  </si>
  <si>
    <t>1.785</t>
  </si>
  <si>
    <t>SJUL0013</t>
  </si>
  <si>
    <t>28/7/2022</t>
  </si>
  <si>
    <t>2:43:00 PM</t>
  </si>
  <si>
    <t>4:43:00 AM</t>
  </si>
  <si>
    <t>5.525</t>
  </si>
  <si>
    <t>SJUL0014</t>
  </si>
  <si>
    <t>4:10:00 PM</t>
  </si>
  <si>
    <t>6:08:00 PM</t>
  </si>
  <si>
    <t>1:58:00 AM</t>
  </si>
  <si>
    <t>3.145</t>
  </si>
  <si>
    <t>SJUL0015</t>
  </si>
  <si>
    <t>29/7/2022</t>
  </si>
  <si>
    <t>1:17:00 PM</t>
  </si>
  <si>
    <t>4:20:00 PM</t>
  </si>
  <si>
    <t>3:03:00 AM</t>
  </si>
  <si>
    <t>5.185</t>
  </si>
  <si>
    <t>6.97</t>
  </si>
  <si>
    <t>SJUL0016</t>
  </si>
  <si>
    <t>30/7/2022</t>
  </si>
  <si>
    <t>4:33:00 PM</t>
  </si>
  <si>
    <t>9:22:00 PM</t>
  </si>
  <si>
    <t>4:49:00 AM</t>
  </si>
  <si>
    <t>30</t>
  </si>
  <si>
    <t>8.5</t>
  </si>
  <si>
    <t>2.55</t>
  </si>
  <si>
    <t>11.05</t>
  </si>
  <si>
    <t>SAGO0017</t>
  </si>
  <si>
    <t>1/8/2022</t>
  </si>
  <si>
    <t>1:03:00 PM</t>
  </si>
  <si>
    <t>7:23:00 PM</t>
  </si>
  <si>
    <t>6:20:00 AM</t>
  </si>
  <si>
    <t>8.925</t>
  </si>
  <si>
    <t>7.48</t>
  </si>
  <si>
    <t>36529</t>
  </si>
  <si>
    <t>36634</t>
  </si>
  <si>
    <t>36637</t>
  </si>
  <si>
    <t>3</t>
  </si>
  <si>
    <t>0.255</t>
  </si>
  <si>
    <t>9.18</t>
  </si>
  <si>
    <t>SAGO0018</t>
  </si>
  <si>
    <t>2/8/2022</t>
  </si>
  <si>
    <t>12:45:00 PM</t>
  </si>
  <si>
    <t>6:40:00 PM</t>
  </si>
  <si>
    <t>5:55:00 AM</t>
  </si>
  <si>
    <t>SAGO0019</t>
  </si>
  <si>
    <t>4/8/2022</t>
  </si>
  <si>
    <t>9:40:00 AM</t>
  </si>
  <si>
    <t>2:05:00 PM</t>
  </si>
  <si>
    <t>6.12</t>
  </si>
  <si>
    <t>SAGO0020</t>
  </si>
  <si>
    <t>4:11:00 PM</t>
  </si>
  <si>
    <t>6:14:00 PM</t>
  </si>
  <si>
    <t>2:03:00 AM</t>
  </si>
  <si>
    <t>4</t>
  </si>
  <si>
    <t>3.06</t>
  </si>
  <si>
    <t>0.34</t>
  </si>
  <si>
    <t>3.4</t>
  </si>
  <si>
    <t>SAGO0021</t>
  </si>
  <si>
    <t>5/8/2022</t>
  </si>
  <si>
    <t>4:30:00 PM</t>
  </si>
  <si>
    <t>8:19:00 PM</t>
  </si>
  <si>
    <t>3:49:00 AM</t>
  </si>
  <si>
    <t>4.76</t>
  </si>
  <si>
    <t>8.84</t>
  </si>
  <si>
    <t>SAGO0022</t>
  </si>
  <si>
    <t>6/8/2022</t>
  </si>
  <si>
    <t>2:16:00 PM</t>
  </si>
  <si>
    <t>6:52:00 PM</t>
  </si>
  <si>
    <t>4:36:00 AM</t>
  </si>
  <si>
    <t>16</t>
  </si>
  <si>
    <t>8.755</t>
  </si>
  <si>
    <t>1.36</t>
  </si>
  <si>
    <t>10.115</t>
  </si>
  <si>
    <t>SAGO0023</t>
  </si>
  <si>
    <t>8/8/2022</t>
  </si>
  <si>
    <t>7:30:00 PM</t>
  </si>
  <si>
    <t>6:25:00 AM</t>
  </si>
  <si>
    <t>8.67</t>
  </si>
  <si>
    <t>SAGO0024</t>
  </si>
  <si>
    <t>16/8/2022</t>
  </si>
  <si>
    <t>4:42:00 PM</t>
  </si>
  <si>
    <t>2:48:00 AM</t>
  </si>
  <si>
    <t>3.825</t>
  </si>
  <si>
    <t>SAGO0025</t>
  </si>
  <si>
    <t>17/8/2022</t>
  </si>
  <si>
    <t>9:32:00 AM</t>
  </si>
  <si>
    <t>3:10:00 PM</t>
  </si>
  <si>
    <t>5:38:00 AM</t>
  </si>
  <si>
    <t>9.775</t>
  </si>
  <si>
    <t>SAGO0026</t>
  </si>
  <si>
    <t>18/8/2022</t>
  </si>
  <si>
    <t>6:11:00 PM</t>
  </si>
  <si>
    <t>7:31:00 AM</t>
  </si>
  <si>
    <t>2</t>
  </si>
  <si>
    <t>10.285</t>
  </si>
  <si>
    <t>0.17</t>
  </si>
  <si>
    <t>10.455</t>
  </si>
  <si>
    <t>SAGO0027</t>
  </si>
  <si>
    <t>24/8/2022</t>
  </si>
  <si>
    <t>5:35:00 PM</t>
  </si>
  <si>
    <t>2:20:00 AM</t>
  </si>
  <si>
    <t>2.295</t>
  </si>
  <si>
    <t>SAGO0028</t>
  </si>
  <si>
    <t>25/8/2022</t>
  </si>
  <si>
    <t>9:10:00 AM</t>
  </si>
  <si>
    <t>12:30:00 PM</t>
  </si>
  <si>
    <t>3:20:00 AM</t>
  </si>
  <si>
    <t>4.42</t>
  </si>
  <si>
    <t>SAGO0029</t>
  </si>
  <si>
    <t>31/8/2022</t>
  </si>
  <si>
    <t>11:25:00 AM</t>
  </si>
  <si>
    <t>2:10:00 PM</t>
  </si>
  <si>
    <t>2:45:00 AM</t>
  </si>
  <si>
    <t>14.79</t>
  </si>
  <si>
    <t>SSEP0030</t>
  </si>
  <si>
    <t>3/9/2022</t>
  </si>
  <si>
    <t>4:00:00 PM</t>
  </si>
  <si>
    <t>8:36:00 PM</t>
  </si>
  <si>
    <t>7.735</t>
  </si>
  <si>
    <t>SSEP0031</t>
  </si>
  <si>
    <t>4/9/2022</t>
  </si>
  <si>
    <t>11:53:00 AM</t>
  </si>
  <si>
    <t>3:26:00 PM</t>
  </si>
  <si>
    <t>3:33:00 AM</t>
  </si>
  <si>
    <t>3.315</t>
  </si>
  <si>
    <t>38208</t>
  </si>
  <si>
    <t>38296</t>
  </si>
  <si>
    <t>SSEP0032</t>
  </si>
  <si>
    <t>7/9/2022</t>
  </si>
  <si>
    <t>10:11:00 AM</t>
  </si>
  <si>
    <t>2:59:00 AM</t>
  </si>
  <si>
    <t>SSEP0033</t>
  </si>
  <si>
    <t>7:10:00 PM</t>
  </si>
  <si>
    <t>2:40:00 AM</t>
  </si>
  <si>
    <t>SSEP0034</t>
  </si>
  <si>
    <t>10/9/2022</t>
  </si>
  <si>
    <t>2:35:00 PM</t>
  </si>
  <si>
    <t>8:20:00 PM</t>
  </si>
  <si>
    <t>5:45:00 AM</t>
  </si>
  <si>
    <t>9.435</t>
  </si>
  <si>
    <t>SSEP0035</t>
  </si>
  <si>
    <t>11/9/2022</t>
  </si>
  <si>
    <t>1:00:00 AM</t>
  </si>
  <si>
    <t>1.19</t>
  </si>
  <si>
    <t>SSEP0036</t>
  </si>
  <si>
    <t>17/9/2022</t>
  </si>
  <si>
    <t>7:50:00 PM</t>
  </si>
  <si>
    <t>11:00:00 PM</t>
  </si>
  <si>
    <t>4.93</t>
  </si>
  <si>
    <t>SSEP0037</t>
  </si>
  <si>
    <t>20/9/2022</t>
  </si>
  <si>
    <t>11:30:00 AM</t>
  </si>
  <si>
    <t>12:45:00 AM</t>
  </si>
  <si>
    <t>1.105</t>
  </si>
  <si>
    <t>SSEP0038</t>
  </si>
  <si>
    <t>5:05:00 PM</t>
  </si>
  <si>
    <t>3:31:00 AM</t>
  </si>
  <si>
    <t>SSEP0039</t>
  </si>
  <si>
    <t>5:25:00 PM</t>
  </si>
  <si>
    <t>6:42:00 PM</t>
  </si>
  <si>
    <t>1:17:00 AM</t>
  </si>
  <si>
    <t>19</t>
  </si>
  <si>
    <t>1.615</t>
  </si>
  <si>
    <t>SSEP0040</t>
  </si>
  <si>
    <t>4:38:00 PM</t>
  </si>
  <si>
    <t>9:00:00 PM</t>
  </si>
  <si>
    <t>4:22:00 AM</t>
  </si>
  <si>
    <t>9.01</t>
  </si>
  <si>
    <t>SSEP0041</t>
  </si>
  <si>
    <t>27/9/2022</t>
  </si>
  <si>
    <t>8:25:00 PM</t>
  </si>
  <si>
    <t>8</t>
  </si>
  <si>
    <t>6.46</t>
  </si>
  <si>
    <t>0.68</t>
  </si>
  <si>
    <t>7.14</t>
  </si>
  <si>
    <t>SOCT0042</t>
  </si>
  <si>
    <t>1/10/2022</t>
  </si>
  <si>
    <t>3:32:00 PM</t>
  </si>
  <si>
    <t>10:00:00 PM</t>
  </si>
  <si>
    <t>6:28:00 AM</t>
  </si>
  <si>
    <t>22</t>
  </si>
  <si>
    <t>10.88</t>
  </si>
  <si>
    <t>1.87</t>
  </si>
  <si>
    <t>12.75</t>
  </si>
  <si>
    <t>SOCT0043</t>
  </si>
  <si>
    <t>4/10/2022</t>
  </si>
  <si>
    <t>4:40:00 PM</t>
  </si>
  <si>
    <t>7:32:00 PM</t>
  </si>
  <si>
    <t>2:52:00 AM</t>
  </si>
  <si>
    <t>3.995</t>
  </si>
  <si>
    <t>SOCT0044</t>
  </si>
  <si>
    <t>6/10/2022</t>
  </si>
  <si>
    <t>3:00:00 PM</t>
  </si>
  <si>
    <t>1:30:00 AM</t>
  </si>
  <si>
    <t>2.465</t>
  </si>
  <si>
    <t>2.635</t>
  </si>
  <si>
    <t>COCT0004</t>
  </si>
  <si>
    <t>8/10/2022</t>
  </si>
  <si>
    <t>SOCT0045</t>
  </si>
  <si>
    <t>9:27:00 PM</t>
  </si>
  <si>
    <t>6:17:00 AM</t>
  </si>
  <si>
    <t>8.415</t>
  </si>
  <si>
    <t>SOCT0046</t>
  </si>
  <si>
    <t>10/10/2022</t>
  </si>
  <si>
    <t>4:07:00 PM</t>
  </si>
  <si>
    <t>4:53:00 AM</t>
  </si>
  <si>
    <t>17</t>
  </si>
  <si>
    <t>1.445</t>
  </si>
  <si>
    <t>10.2</t>
  </si>
  <si>
    <t>SOCT0047</t>
  </si>
  <si>
    <t>11/10/2022</t>
  </si>
  <si>
    <t>3:55:00 PM</t>
  </si>
  <si>
    <t>3:15:00 AM</t>
  </si>
  <si>
    <t>51</t>
  </si>
  <si>
    <t>4.335</t>
  </si>
  <si>
    <t>SOCT0048</t>
  </si>
  <si>
    <t>13/10/2022</t>
  </si>
  <si>
    <t>6:00:00 PM</t>
  </si>
  <si>
    <t>9:50:00 PM</t>
  </si>
  <si>
    <t>74</t>
  </si>
  <si>
    <t>76</t>
  </si>
  <si>
    <t>COCT0005</t>
  </si>
  <si>
    <t>SOCT0049</t>
  </si>
  <si>
    <t>17/10/2022</t>
  </si>
  <si>
    <t>1:00:00 PM</t>
  </si>
  <si>
    <t>8:15:00 PM</t>
  </si>
  <si>
    <t>7:15:00 AM</t>
  </si>
  <si>
    <t>112</t>
  </si>
  <si>
    <t>28</t>
  </si>
  <si>
    <t>140</t>
  </si>
  <si>
    <t>9.52</t>
  </si>
  <si>
    <t>2.38</t>
  </si>
  <si>
    <t>11.9</t>
  </si>
  <si>
    <t>MontoApp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</si>
</sst>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\ #,##0.00"/>
    <numFmt numFmtId="165" formatCode="0.00000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7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6" fillId="3" borderId="1" applyNumberFormat="0" applyAlignment="0" applyProtection="0"/>
  </cellStyleXfs>
  <cellXfs count="56">
    <xf numFmtId="0" fontId="0" fillId="0" borderId="0" xfId="0"/>
    <xf numFmtId="0" fontId="0" fillId="0" borderId="3" xfId="0" applyBorder="1" applyAlignment="1">
      <alignment horizontal="right"/>
    </xf>
    <xf numFmtId="0" fontId="1" fillId="2" borderId="3" xfId="1" applyBorder="1"/>
    <xf numFmtId="0" fontId="0" fillId="0" borderId="3" xfId="0" applyBorder="1"/>
    <xf numFmtId="0" fontId="5" fillId="0" borderId="0" xfId="0" applyFont="1"/>
    <xf numFmtId="0" fontId="1" fillId="2" borderId="1" xfId="1" applyAlignment="1">
      <alignment horizontal="center" vertical="center"/>
    </xf>
    <xf numFmtId="0" fontId="2" fillId="3" borderId="2" xfId="2" applyAlignment="1">
      <alignment horizontal="center" vertical="center"/>
    </xf>
    <xf numFmtId="0" fontId="1" fillId="2" borderId="4" xfId="1" applyBorder="1" applyAlignment="1">
      <alignment horizontal="center" vertical="center"/>
    </xf>
    <xf numFmtId="14" fontId="0" fillId="0" borderId="0" xfId="0" applyNumberFormat="1"/>
    <xf numFmtId="0" fontId="2" fillId="3" borderId="2" xfId="2" applyFont="1" applyFill="1" applyBorder="1" applyAlignment="1">
      <alignment horizontal="center" vertical="center"/>
    </xf>
    <xf numFmtId="0" fontId="6" fillId="3" borderId="1" xfId="3" applyAlignment="1">
      <alignment horizontal="center" vertical="center"/>
    </xf>
    <xf numFmtId="46" fontId="0" fillId="0" borderId="0" xfId="0" applyNumberFormat="1"/>
    <xf numFmtId="49" fontId="2" fillId="3" borderId="2" xfId="2" applyNumberFormat="1" applyAlignment="1">
      <alignment horizontal="center" vertical="center"/>
    </xf>
    <xf numFmtId="49" fontId="1" fillId="2" borderId="1" xfId="1" applyNumberFormat="1" applyBorder="1" applyAlignment="1">
      <alignment horizontal="center" vertical="center"/>
    </xf>
    <xf numFmtId="49" fontId="1" fillId="2" borderId="1" xfId="1" applyNumberFormat="1" applyAlignment="1">
      <alignment horizontal="center" vertical="center"/>
    </xf>
    <xf numFmtId="49" fontId="1" fillId="2" borderId="5" xfId="1" applyNumberFormat="1" applyBorder="1" applyAlignment="1">
      <alignment horizontal="center" vertical="center"/>
    </xf>
    <xf numFmtId="49" fontId="1" fillId="2" borderId="6" xfId="1" applyNumberFormat="1" applyBorder="1" applyAlignment="1">
      <alignment horizontal="center" vertical="center"/>
    </xf>
    <xf numFmtId="49" fontId="1" fillId="2" borderId="7" xfId="1" applyNumberFormat="1" applyBorder="1" applyAlignment="1">
      <alignment horizontal="center" vertical="center"/>
    </xf>
    <xf numFmtId="49" fontId="6" fillId="3" borderId="1" xfId="3" applyNumberFormat="1" applyBorder="1" applyAlignment="1">
      <alignment horizontal="center" vertical="center"/>
    </xf>
    <xf numFmtId="49" fontId="6" fillId="3" borderId="6" xfId="3" applyNumberFormat="1" applyBorder="1" applyAlignment="1">
      <alignment horizontal="center" vertical="center"/>
    </xf>
    <xf numFmtId="49" fontId="2" fillId="3" borderId="5" xfId="2" applyNumberFormat="1" applyFont="1" applyFill="1" applyBorder="1" applyAlignment="1">
      <alignment horizontal="center" vertical="center"/>
    </xf>
    <xf numFmtId="49" fontId="6" fillId="3" borderId="5" xfId="3" applyNumberFormat="1" applyBorder="1" applyAlignment="1">
      <alignment horizontal="center" vertical="center"/>
    </xf>
    <xf numFmtId="49" fontId="6" fillId="3" borderId="7" xfId="3" applyNumberFormat="1" applyBorder="1" applyAlignment="1">
      <alignment horizontal="center" vertical="center"/>
    </xf>
    <xf numFmtId="0" fontId="8" fillId="0" borderId="9" xfId="0" applyFont="1" applyBorder="1"/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/>
    <xf numFmtId="0" fontId="0" fillId="0" borderId="9" xfId="0" applyBorder="1"/>
    <xf numFmtId="0" fontId="0" fillId="0" borderId="11" xfId="0" applyBorder="1"/>
    <xf numFmtId="0" fontId="8" fillId="0" borderId="8" xfId="0" applyFont="1" applyBorder="1" applyAlignment="1">
      <alignment horizontal="center" vertical="center"/>
    </xf>
    <xf numFmtId="0" fontId="0" fillId="0" borderId="8" xfId="0" applyFont="1" applyBorder="1"/>
    <xf numFmtId="0" fontId="1" fillId="2" borderId="3" xfId="1" applyBorder="1" applyAlignment="1">
      <alignment horizontal="center"/>
    </xf>
    <xf numFmtId="0" fontId="0" fillId="0" borderId="0" xfId="0" applyNumberFormat="1"/>
    <xf numFmtId="2" fontId="1" fillId="2" borderId="3" xfId="1" applyNumberFormat="1" applyBorder="1"/>
    <xf numFmtId="0" fontId="1" fillId="2" borderId="0" xfId="1" applyBorder="1" applyAlignment="1">
      <alignment horizontal="center" vertical="center"/>
    </xf>
    <xf numFmtId="49" fontId="1" fillId="2" borderId="0" xfId="1" applyNumberFormat="1" applyBorder="1" applyAlignment="1">
      <alignment horizontal="center" vertical="center"/>
    </xf>
    <xf numFmtId="2" fontId="1" fillId="2" borderId="0" xfId="1" applyNumberFormat="1" applyBorder="1" applyAlignment="1">
      <alignment horizontal="center" vertical="center"/>
    </xf>
    <xf numFmtId="164" fontId="1" fillId="2" borderId="0" xfId="1" applyNumberFormat="1" applyBorder="1" applyAlignment="1">
      <alignment horizontal="center" vertical="center"/>
    </xf>
    <xf numFmtId="0" fontId="6" fillId="3" borderId="1" xfId="3" applyNumberFormat="1" applyAlignment="1">
      <alignment horizontal="center" vertical="center"/>
    </xf>
    <xf numFmtId="165" fontId="0" fillId="0" borderId="0" xfId="0" applyNumberFormat="1"/>
    <xf numFmtId="4" fontId="1" fillId="2" borderId="3" xfId="1" applyNumberFormat="1" applyBorder="1"/>
    <xf numFmtId="49" fontId="0" fillId="0" borderId="0" xfId="0" applyNumberFormat="1"/>
    <xf numFmtId="0" fontId="6" fillId="3" borderId="1" xfId="3" applyNumberFormat="1" applyBorder="1" applyAlignment="1">
      <alignment horizontal="center" vertical="center"/>
    </xf>
    <xf numFmtId="0" fontId="6" fillId="3" borderId="6" xfId="3" applyNumberFormat="1" applyBorder="1" applyAlignment="1">
      <alignment horizontal="center" vertical="center"/>
    </xf>
    <xf numFmtId="0" fontId="0" fillId="5" borderId="0" xfId="0" applyFill="1"/>
    <xf numFmtId="14" fontId="0" fillId="5" borderId="0" xfId="0" applyNumberFormat="1" applyFill="1"/>
    <xf numFmtId="0" fontId="5" fillId="5" borderId="0" xfId="0" applyFont="1" applyFill="1"/>
    <xf numFmtId="20" fontId="0" fillId="5" borderId="0" xfId="0" applyNumberFormat="1" applyFill="1"/>
    <xf numFmtId="46" fontId="0" fillId="5" borderId="0" xfId="0" applyNumberFormat="1" applyFill="1"/>
    <xf numFmtId="20" fontId="0" fillId="0" borderId="0" xfId="0" applyNumberFormat="1"/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8" fillId="0" borderId="3" xfId="0" applyFont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</cellXfs>
  <cellStyles count="4">
    <cellStyle name="Cálculo" xfId="3" builtinId="22"/>
    <cellStyle name="Entrada" xfId="1" builtinId="20"/>
    <cellStyle name="Normal" xfId="0" builtinId="0"/>
    <cellStyle name="Salida" xfId="2" builtinId="21"/>
  </cellStyles>
  <dxfs count="72"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border outline="0">
        <top style="thin">
          <color rgb="FF7F7F7F"/>
        </top>
      </border>
    </dxf>
    <dxf>
      <border outline="0">
        <bottom style="thin">
          <color rgb="FF7F7F7F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border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right style="thin">
          <color rgb="FF7F7F7F"/>
        </right>
      </border>
    </dxf>
    <dxf>
      <numFmt numFmtId="30" formatCode="@"/>
      <border outline="0">
        <right style="thin">
          <color rgb="FF7F7F7F"/>
        </right>
      </border>
    </dxf>
    <dxf>
      <numFmt numFmtId="30" formatCode="@"/>
    </dxf>
    <dxf>
      <alignment horizontal="center" vertical="center" textRotation="0" wrapText="0" indent="0" justifyLastLine="0" shrinkToFit="0" readingOrder="0"/>
    </dxf>
    <dxf>
      <numFmt numFmtId="164" formatCode="&quot;$&quot;\ #,##0.00"/>
    </dxf>
    <dxf>
      <numFmt numFmtId="2" formatCode="0.00"/>
    </dxf>
    <dxf>
      <numFmt numFmtId="164" formatCode="&quot;$&quot;\ #,##0.00"/>
    </dxf>
    <dxf>
      <numFmt numFmtId="30" formatCode="@"/>
    </dxf>
    <dxf>
      <numFmt numFmtId="2" formatCode="0.00"/>
    </dxf>
    <dxf>
      <numFmt numFmtId="30" formatCode="@"/>
    </dxf>
    <dxf>
      <border outline="0">
        <top style="thin">
          <color rgb="FF7F7F7F"/>
        </top>
      </border>
    </dxf>
    <dxf>
      <border outline="0">
        <bottom style="thin">
          <color rgb="FF7F7F7F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  <border outline="0">
        <left style="thin">
          <color rgb="FF7F7F7F"/>
        </left>
      </border>
    </dxf>
    <dxf>
      <numFmt numFmtId="30" formatCode="@"/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</dxf>
    <dxf>
      <numFmt numFmtId="30" formatCode="@"/>
      <border outline="0">
        <right style="thin">
          <color rgb="FF7F7F7F"/>
        </right>
      </border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57150</xdr:rowOff>
        </xdr:from>
        <xdr:to>
          <xdr:col>8</xdr:col>
          <xdr:colOff>742950</xdr:colOff>
          <xdr:row>17</xdr:row>
          <xdr:rowOff>85725</xdr:rowOff>
        </xdr:to>
        <xdr:sp macro="" textlink="">
          <xdr:nvSpPr>
            <xdr:cNvPr id="1026" name="btnViaj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12</xdr:row>
          <xdr:rowOff>38100</xdr:rowOff>
        </xdr:from>
        <xdr:to>
          <xdr:col>4</xdr:col>
          <xdr:colOff>228600</xdr:colOff>
          <xdr:row>17</xdr:row>
          <xdr:rowOff>66675</xdr:rowOff>
        </xdr:to>
        <xdr:sp macro="" textlink="">
          <xdr:nvSpPr>
            <xdr:cNvPr id="1027" name="btnSalidas" descr="Abre Formulario para registrar una Sali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12</xdr:row>
          <xdr:rowOff>95250</xdr:rowOff>
        </xdr:from>
        <xdr:to>
          <xdr:col>13</xdr:col>
          <xdr:colOff>600075</xdr:colOff>
          <xdr:row>17</xdr:row>
          <xdr:rowOff>123825</xdr:rowOff>
        </xdr:to>
        <xdr:sp macro="" textlink="">
          <xdr:nvSpPr>
            <xdr:cNvPr id="1028" name="btnRecarg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342901</xdr:colOff>
      <xdr:row>1</xdr:row>
      <xdr:rowOff>133350</xdr:rowOff>
    </xdr:from>
    <xdr:to>
      <xdr:col>14</xdr:col>
      <xdr:colOff>1</xdr:colOff>
      <xdr:row>9</xdr:row>
      <xdr:rowOff>85725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42901" y="323850"/>
          <a:ext cx="10744200" cy="1476375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REGISTRO DE VIAJES REALIZADOS CON LA APP CABIFY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Salidas" displayName="TablaSalidas" ref="A3:G52" totalsRowShown="0" headerRowDxfId="71" dataDxfId="70" headerRowCellStyle="Entrada">
  <autoFilter ref="A3:G52" xr:uid="{00000000-0009-0000-0100-000001000000}"/>
  <tableColumns count="7">
    <tableColumn id="1" xr3:uid="{00000000-0010-0000-0000-000001000000}" name="idsalida" dataDxfId="69"/>
    <tableColumn id="2" xr3:uid="{00000000-0010-0000-0000-000002000000}" name="fecha" dataDxfId="68"/>
    <tableColumn id="3" xr3:uid="{00000000-0010-0000-0000-000003000000}" name="hora ini" dataDxfId="67"/>
    <tableColumn id="4" xr3:uid="{00000000-0010-0000-0000-000004000000}" name="kms ini" dataDxfId="66"/>
    <tableColumn id="5" xr3:uid="{00000000-0010-0000-0000-000005000000}" name="hora fin" dataDxfId="65"/>
    <tableColumn id="6" xr3:uid="{00000000-0010-0000-0000-000006000000}" name="kms fin" dataDxfId="64"/>
    <tableColumn id="7" xr3:uid="{00000000-0010-0000-0000-000007000000}" name="kms vacio" dataDxfId="6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Viajes" displayName="TablaViajes" ref="A3:H4" insertRow="1" totalsRowShown="0" headerRowDxfId="62" headerRowCellStyle="Entrada">
  <autoFilter ref="A3:H4" xr:uid="{00000000-0009-0000-0100-000002000000}"/>
  <tableColumns count="8">
    <tableColumn id="1" xr3:uid="{00000000-0010-0000-0100-000001000000}" name="idviaje" dataDxfId="61" dataCellStyle="Salida"/>
    <tableColumn id="2" xr3:uid="{00000000-0010-0000-0100-000002000000}" name="hora"/>
    <tableColumn id="3" xr3:uid="{00000000-0010-0000-0100-000003000000}" name="m_mio"/>
    <tableColumn id="4" xr3:uid="{00000000-0010-0000-0100-000004000000}" name="m_cobrado"/>
    <tableColumn id="5" xr3:uid="{00000000-0010-0000-0100-000005000000}" name="metodo_pago" dataDxfId="60"/>
    <tableColumn id="6" xr3:uid="{00000000-0010-0000-0100-000006000000}" name="demanda"/>
    <tableColumn id="7" xr3:uid="{00000000-0010-0000-0100-000007000000}" name="duración"/>
    <tableColumn id="8" xr3:uid="{00000000-0010-0000-0100-000008000000}" name="distanci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CargaCombustible" displayName="TablaCargaCombustible" ref="A3:H8" totalsRowShown="0" headerRowDxfId="59" headerRowBorderDxfId="58" tableBorderDxfId="57" headerRowCellStyle="Entrada">
  <autoFilter ref="A3:H8" xr:uid="{00000000-0009-0000-0100-000003000000}"/>
  <tableColumns count="8">
    <tableColumn id="9" xr3:uid="{432247EB-51FF-4CA7-B6CE-FF0F288E7DB6}" name="IDCARGA"/>
    <tableColumn id="1" xr3:uid="{00000000-0010-0000-0200-000001000000}" name="FECHA" dataDxfId="56"/>
    <tableColumn id="2" xr3:uid="{00000000-0010-0000-0200-000002000000}" name="KILOMETROS" dataDxfId="55"/>
    <tableColumn id="3" xr3:uid="{00000000-0010-0000-0200-000003000000}" name="MARCA"/>
    <tableColumn id="4" xr3:uid="{00000000-0010-0000-0200-000004000000}" name="TIPO_NAFTA" dataDxfId="54"/>
    <tableColumn id="5" xr3:uid="{00000000-0010-0000-0200-000005000000}" name="PRECIO" dataDxfId="53"/>
    <tableColumn id="6" xr3:uid="{00000000-0010-0000-0200-000006000000}" name="CANT_LITROS" dataDxfId="52"/>
    <tableColumn id="7" xr3:uid="{00000000-0010-0000-0200-000007000000}" name="MONTO_PAGADO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FF91789-5E95-4ADC-9C63-90A6EECAD915}" name="TablaCalculosSalidas" displayName="TablaCalculosSalidas" ref="A3:K52" totalsRowShown="0" headerRowDxfId="50" dataDxfId="49" headerRowCellStyle="Entrada">
  <autoFilter ref="A3:K52" xr:uid="{8FF91789-5E95-4ADC-9C63-90A6EECAD915}"/>
  <tableColumns count="11">
    <tableColumn id="1" xr3:uid="{C5A35A59-BCB8-42E4-B194-4C49CF39EF8E}" name="idsalida" dataDxfId="48"/>
    <tableColumn id="2" xr3:uid="{5B093245-962D-428C-94D8-D6409B35031D}" name="NroDia" dataDxfId="47"/>
    <tableColumn id="3" xr3:uid="{20BCE5C2-48CA-4747-B40F-517906501021}" name="NroSemana" dataDxfId="46"/>
    <tableColumn id="4" xr3:uid="{DC6F8978-7D06-43D1-B2F6-5AAE8C5BA0A1}" name="TpoConectado" dataDxfId="45"/>
    <tableColumn id="5" xr3:uid="{DA88EA85-5D8E-4E5B-B0E4-4B04E6F6E5C8}" name="KMsApp" dataDxfId="44"/>
    <tableColumn id="6" xr3:uid="{D8372C67-EA31-4118-8DA3-54ACBDC4EF38}" name="KMsVacio" dataDxfId="43"/>
    <tableColumn id="7" xr3:uid="{BF85E8D5-62C4-45DC-8D30-3C92867598A6}" name="KMsTotales" dataDxfId="42"/>
    <tableColumn id="8" xr3:uid="{6BE2F4B3-5099-41B6-A051-FB9C302032E2}" name="LitrosApp" dataDxfId="41"/>
    <tableColumn id="9" xr3:uid="{E8329A64-6D77-4EB2-897A-00C12D7E8AF3}" name="LitrosVacio" dataDxfId="40"/>
    <tableColumn id="10" xr3:uid="{D6D3A974-681E-453E-8753-522DF572E7CE}" name="LitrosTotales" dataDxfId="39"/>
    <tableColumn id="11" xr3:uid="{DEB939B7-E5C4-4AED-A7B0-9ED84181821E}" name="ConsumoPesos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5E449D-32B9-4A22-AA7A-8DA1915FA1A0}" name="TablaCalculosViajes" displayName="TablaCalculosViajes" ref="A3:G4" insertRow="1" totalsRowShown="0" headerRowDxfId="37" headerRowCellStyle="Entrada">
  <autoFilter ref="A3:G4" xr:uid="{865E449D-32B9-4A22-AA7A-8DA1915FA1A0}"/>
  <tableColumns count="7">
    <tableColumn id="1" xr3:uid="{E73A7011-EB8E-450A-97CE-663189D231F5}" name="idviaje" dataDxfId="36" dataCellStyle="Salida"/>
    <tableColumn id="2" xr3:uid="{8CE186BE-37DA-483A-BF95-CF4E74B39C85}" name="NroDia"/>
    <tableColumn id="3" xr3:uid="{AF7C2CD7-B33C-4762-98B5-55C307C41085}" name="NroSemana"/>
    <tableColumn id="5" xr3:uid="{9C270A95-E6F5-4630-BAB7-907D1F414B73}" name="PorcApp"/>
    <tableColumn id="6" xr3:uid="{F9E5B671-BD45-4D31-BEAE-64B5E0D2F7B7}" name="MontoApp"/>
    <tableColumn id="8" xr3:uid="{6E62FFA8-AD49-4456-81DE-1FE936BE7D34}" name="PorcMio"/>
    <tableColumn id="7" xr3:uid="{D2DC679A-6BC1-4227-8C0D-31696325E9CD}" name="Litros(aprox)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A5FF3D-B8FD-44D7-93CF-9A4F08F6FC6D}" name="TablaCalculosCombustible" displayName="TablaCalculosCombustible" ref="A3:J8" totalsRowShown="0" headerRowDxfId="35" headerRowBorderDxfId="34" tableBorderDxfId="33" headerRowCellStyle="Entrada">
  <autoFilter ref="A3:J8" xr:uid="{00000000-0009-0000-0100-000003000000}"/>
  <tableColumns count="10">
    <tableColumn id="9" xr3:uid="{87C04BCF-6AA3-4850-B2F9-0D6CF92D12E6}" name="IDCARGA"/>
    <tableColumn id="8" xr3:uid="{4EF99264-DC89-4298-892D-CCBFDCF121BC}" name="DIANRO"/>
    <tableColumn id="10" xr3:uid="{90C93D06-D74B-42F8-B3E8-02D555E69355}" name="SEMNRO"/>
    <tableColumn id="11" xr3:uid="{F97627A5-3109-4660-93D5-6401D7B9CFB7}" name="DIF_FECHA_UCARGA"/>
    <tableColumn id="12" xr3:uid="{1A71AE58-AAA8-44B5-82D8-DCE4887622D6}" name="DIF_PNAFTA_UCARGA"/>
    <tableColumn id="13" xr3:uid="{AB5BEBFB-F96C-4491-AD4F-AC135FF8F4B6}" name="PORC_MONTO_UCARGA" dataDxfId="32"/>
    <tableColumn id="1" xr3:uid="{8527DA2A-FFD3-48DF-842F-064DAB2154D0}" name="DIF_KMS"/>
    <tableColumn id="2" xr3:uid="{629C98CF-E655-477C-9803-4C4134290015}" name="AUTOCITY"/>
    <tableColumn id="3" xr3:uid="{E2399577-5200-48F8-A53D-C07BF17026C8}" name="AUTORUTA"/>
    <tableColumn id="4" xr3:uid="{2F65637A-B642-43A7-B84B-E1756601B013}" name="AUTOMIX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AE3A6A-C501-49FF-AF5C-DE1021272D4A}" name="TablaMarcaNaftas" displayName="TablaMarcaNaftas" ref="A4:B9" totalsRowShown="0" headerRowDxfId="31" dataDxfId="29" headerRowBorderDxfId="30" tableBorderDxfId="28" totalsRowBorderDxfId="27">
  <autoFilter ref="A4:B9" xr:uid="{CDAE3A6A-C501-49FF-AF5C-DE1021272D4A}"/>
  <tableColumns count="2">
    <tableColumn id="1" xr3:uid="{4A35D4A4-F133-4404-A5BF-4130B334BE44}" name="MARCA" dataDxfId="26"/>
    <tableColumn id="2" xr3:uid="{30E2E926-E7A1-46D8-A905-CBCB7B850602}" name="VALOR" dataDxfId="2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FDB8A91-F558-42C1-9003-EFA7E250F0F2}" name="Marca01" displayName="Marca01" ref="D5:D10" totalsRowShown="0" headerRowDxfId="24" headerRowBorderDxfId="23" tableBorderDxfId="22" totalsRowBorderDxfId="21">
  <autoFilter ref="D5:D10" xr:uid="{CFDB8A91-F558-42C1-9003-EFA7E250F0F2}"/>
  <tableColumns count="1">
    <tableColumn id="1" xr3:uid="{2E1F1988-088A-4E52-A43B-53E5A58AA5B3}" name="Marca01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876E52C-54BC-4FEF-96DD-F7E0A08C4932}" name="Marca02" displayName="Marca02" ref="E5:E10" totalsRowShown="0" headerRowDxfId="19" headerRowBorderDxfId="18" tableBorderDxfId="17" totalsRowBorderDxfId="16">
  <autoFilter ref="E5:E10" xr:uid="{3876E52C-54BC-4FEF-96DD-F7E0A08C4932}"/>
  <tableColumns count="1">
    <tableColumn id="1" xr3:uid="{7CEA2DB6-7B18-4A0C-8632-A5D8CD52F46D}" name="Marca02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A0D48FA-BEAE-406F-AC8E-C878C429F18E}" name="Marca03" displayName="Marca03" ref="F5:F7" totalsRowShown="0" headerRowDxfId="14" headerRowBorderDxfId="13" tableBorderDxfId="12" totalsRowBorderDxfId="11">
  <autoFilter ref="F5:F7" xr:uid="{5A0D48FA-BEAE-406F-AC8E-C878C429F18E}"/>
  <tableColumns count="1">
    <tableColumn id="1" xr3:uid="{57AF230E-C853-47D5-A49F-1AAF3D50B6BF}" name="Marca03" dataDxf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78EB7C-F88E-48FB-93D9-9B4AEAF3D283}" name="Marca04" displayName="Marca04" ref="G5:G6" totalsRowShown="0" headerRowDxfId="9" headerRowBorderDxfId="8" tableBorderDxfId="7" totalsRowBorderDxfId="6">
  <autoFilter ref="G5:G6" xr:uid="{FB78EB7C-F88E-48FB-93D9-9B4AEAF3D283}"/>
  <tableColumns count="1">
    <tableColumn id="1" xr3:uid="{6DCB5266-151D-4E13-802F-6A1ACCA705F6}" name="Marca04" dataDxfId="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6C4CAB6-F002-4E47-8CEC-3E8320935B53}" name="Marca05" displayName="Marca05" ref="H5:H10" totalsRowShown="0" headerRowDxfId="4" headerRowBorderDxfId="3" tableBorderDxfId="2" totalsRowBorderDxfId="1">
  <autoFilter ref="H5:H10" xr:uid="{26C4CAB6-F002-4E47-8CEC-3E8320935B53}"/>
  <tableColumns count="1">
    <tableColumn id="1" xr3:uid="{6F76D07B-F716-427B-AB4B-227B92D2476C}" name="Marca0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0:J25"/>
  <sheetViews>
    <sheetView showGridLines="0" workbookViewId="0">
      <selection activeCell="G20" sqref="G20"/>
    </sheetView>
  </sheetViews>
  <sheetFormatPr baseColWidth="10" defaultRowHeight="15" x14ac:dyDescent="0.25"/>
  <cols>
    <col min="1" max="1" width="17.7109375" style="43" bestFit="1" customWidth="1"/>
    <col min="2" max="16384" width="11.42578125" style="43"/>
  </cols>
  <sheetData>
    <row r="10" spans="1:9" x14ac:dyDescent="0.25">
      <c r="E10" s="44"/>
    </row>
    <row r="11" spans="1:9" x14ac:dyDescent="0.25">
      <c r="E11" s="44"/>
    </row>
    <row r="12" spans="1:9" x14ac:dyDescent="0.25">
      <c r="A12" s="45"/>
      <c r="D12" s="44"/>
    </row>
    <row r="13" spans="1:9" x14ac:dyDescent="0.25">
      <c r="D13" s="44"/>
    </row>
    <row r="14" spans="1:9" x14ac:dyDescent="0.25">
      <c r="A14" s="45"/>
      <c r="E14" s="44"/>
      <c r="G14" s="44"/>
    </row>
    <row r="16" spans="1:9" x14ac:dyDescent="0.25">
      <c r="I16" s="44"/>
    </row>
    <row r="18" spans="4:10" x14ac:dyDescent="0.25">
      <c r="D18" s="44"/>
    </row>
    <row r="21" spans="4:10" x14ac:dyDescent="0.25">
      <c r="J21" s="44"/>
    </row>
    <row r="23" spans="4:10" x14ac:dyDescent="0.25">
      <c r="F23" s="44"/>
    </row>
    <row r="24" spans="4:10" x14ac:dyDescent="0.25">
      <c r="H24" s="46"/>
    </row>
    <row r="25" spans="4:10" x14ac:dyDescent="0.25">
      <c r="H25" s="47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8" r:id="rId4" name="btnRecarga">
          <controlPr defaultSize="0" autoLine="0" autoPict="0" r:id="rId5">
            <anchor moveWithCells="1">
              <from>
                <xdr:col>9</xdr:col>
                <xdr:colOff>638175</xdr:colOff>
                <xdr:row>12</xdr:row>
                <xdr:rowOff>95250</xdr:rowOff>
              </from>
              <to>
                <xdr:col>13</xdr:col>
                <xdr:colOff>600075</xdr:colOff>
                <xdr:row>17</xdr:row>
                <xdr:rowOff>123825</xdr:rowOff>
              </to>
            </anchor>
          </controlPr>
        </control>
      </mc:Choice>
      <mc:Fallback>
        <control shapeId="1028" r:id="rId4" name="btnRecarga"/>
      </mc:Fallback>
    </mc:AlternateContent>
    <mc:AlternateContent xmlns:mc="http://schemas.openxmlformats.org/markup-compatibility/2006">
      <mc:Choice Requires="x14">
        <control shapeId="1026" r:id="rId6" name="btnViajes">
          <controlPr autoLine="0" autoPict="0" r:id="rId7">
            <anchor moveWithCells="1">
              <from>
                <xdr:col>5</xdr:col>
                <xdr:colOff>19050</xdr:colOff>
                <xdr:row>12</xdr:row>
                <xdr:rowOff>57150</xdr:rowOff>
              </from>
              <to>
                <xdr:col>8</xdr:col>
                <xdr:colOff>742950</xdr:colOff>
                <xdr:row>17</xdr:row>
                <xdr:rowOff>85725</xdr:rowOff>
              </to>
            </anchor>
          </controlPr>
        </control>
      </mc:Choice>
      <mc:Fallback>
        <control shapeId="1026" r:id="rId6" name="btnViajes"/>
      </mc:Fallback>
    </mc:AlternateContent>
    <mc:AlternateContent xmlns:mc="http://schemas.openxmlformats.org/markup-compatibility/2006">
      <mc:Choice Requires="x14">
        <control shapeId="1027" r:id="rId8" name="btnSalidas">
          <controlPr defaultSize="0" autoLine="0" autoPict="0" altText="Abre Formulario para registrar una Salida" r:id="rId9">
            <anchor moveWithCells="1">
              <from>
                <xdr:col>0</xdr:col>
                <xdr:colOff>685800</xdr:colOff>
                <xdr:row>12</xdr:row>
                <xdr:rowOff>38100</xdr:rowOff>
              </from>
              <to>
                <xdr:col>4</xdr:col>
                <xdr:colOff>228600</xdr:colOff>
                <xdr:row>17</xdr:row>
                <xdr:rowOff>66675</xdr:rowOff>
              </to>
            </anchor>
          </controlPr>
        </control>
      </mc:Choice>
      <mc:Fallback>
        <control shapeId="1027" r:id="rId8" name="btnSalid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63"/>
  <sheetViews>
    <sheetView workbookViewId="0">
      <selection activeCell="I12" sqref="I12"/>
    </sheetView>
  </sheetViews>
  <sheetFormatPr baseColWidth="10" defaultRowHeight="15" x14ac:dyDescent="0.25"/>
  <cols>
    <col min="7" max="7" width="11.7109375" customWidth="1"/>
  </cols>
  <sheetData>
    <row r="1" spans="1:11" x14ac:dyDescent="0.25">
      <c r="A1" s="49" t="s">
        <v>22</v>
      </c>
      <c r="B1" s="49"/>
      <c r="C1" s="49"/>
    </row>
    <row r="3" spans="1:11" x14ac:dyDescent="0.25">
      <c r="A3" s="6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5" t="s">
        <v>6</v>
      </c>
      <c r="K3" s="40"/>
    </row>
    <row r="4" spans="1:11" x14ac:dyDescent="0.25">
      <c r="A4" s="12" t="s">
        <v>116</v>
      </c>
      <c r="B4" s="13" t="s">
        <v>117</v>
      </c>
      <c r="C4" s="14" t="s">
        <v>118</v>
      </c>
      <c r="D4" s="13">
        <v>33822</v>
      </c>
      <c r="E4" s="14" t="s">
        <v>119</v>
      </c>
      <c r="F4" s="13">
        <v>33885</v>
      </c>
      <c r="G4" s="14">
        <v>33885</v>
      </c>
    </row>
    <row r="5" spans="1:11" x14ac:dyDescent="0.25">
      <c r="A5" s="12" t="s">
        <v>123</v>
      </c>
      <c r="B5" s="15" t="s">
        <v>124</v>
      </c>
      <c r="C5" s="14" t="s">
        <v>125</v>
      </c>
      <c r="D5" s="16">
        <v>33908</v>
      </c>
      <c r="E5" s="14" t="s">
        <v>126</v>
      </c>
      <c r="F5" s="17">
        <v>33970</v>
      </c>
      <c r="G5" s="14">
        <v>33970</v>
      </c>
    </row>
    <row r="6" spans="1:11" x14ac:dyDescent="0.25">
      <c r="A6" s="12" t="s">
        <v>129</v>
      </c>
      <c r="B6" s="15" t="s">
        <v>130</v>
      </c>
      <c r="C6" s="14" t="s">
        <v>40</v>
      </c>
      <c r="D6" s="16">
        <v>33975</v>
      </c>
      <c r="E6" s="14" t="s">
        <v>131</v>
      </c>
      <c r="F6" s="17">
        <v>34049</v>
      </c>
      <c r="G6" s="14">
        <v>34049</v>
      </c>
    </row>
    <row r="7" spans="1:11" x14ac:dyDescent="0.25">
      <c r="A7" s="12" t="s">
        <v>134</v>
      </c>
      <c r="B7" s="15" t="s">
        <v>135</v>
      </c>
      <c r="C7" s="14" t="s">
        <v>136</v>
      </c>
      <c r="D7" s="16">
        <v>34051</v>
      </c>
      <c r="E7" s="14" t="s">
        <v>137</v>
      </c>
      <c r="F7" s="17">
        <v>34110</v>
      </c>
      <c r="G7" s="14">
        <v>34110</v>
      </c>
    </row>
    <row r="8" spans="1:11" x14ac:dyDescent="0.25">
      <c r="A8" s="12" t="s">
        <v>139</v>
      </c>
      <c r="B8" s="15" t="s">
        <v>140</v>
      </c>
      <c r="C8" s="14" t="s">
        <v>141</v>
      </c>
      <c r="D8" s="16">
        <v>34232</v>
      </c>
      <c r="E8" s="14" t="s">
        <v>142</v>
      </c>
      <c r="F8" s="17">
        <v>34295</v>
      </c>
      <c r="G8" s="14">
        <v>34295</v>
      </c>
    </row>
    <row r="9" spans="1:11" x14ac:dyDescent="0.25">
      <c r="A9" s="12" t="s">
        <v>144</v>
      </c>
      <c r="B9" s="15" t="s">
        <v>145</v>
      </c>
      <c r="C9" s="14" t="s">
        <v>146</v>
      </c>
      <c r="D9" s="16">
        <v>34309</v>
      </c>
      <c r="E9" s="14" t="s">
        <v>38</v>
      </c>
      <c r="F9" s="17">
        <v>34357</v>
      </c>
      <c r="G9" s="14">
        <v>34357</v>
      </c>
    </row>
    <row r="10" spans="1:11" x14ac:dyDescent="0.25">
      <c r="A10" s="12" t="s">
        <v>150</v>
      </c>
      <c r="B10" s="15" t="s">
        <v>151</v>
      </c>
      <c r="C10" s="14" t="s">
        <v>152</v>
      </c>
      <c r="D10" s="16">
        <v>34553</v>
      </c>
      <c r="E10" s="14" t="s">
        <v>153</v>
      </c>
      <c r="F10" s="17">
        <v>34603</v>
      </c>
      <c r="G10" s="14">
        <v>34603</v>
      </c>
    </row>
    <row r="11" spans="1:11" x14ac:dyDescent="0.25">
      <c r="A11" s="12" t="s">
        <v>155</v>
      </c>
      <c r="B11" s="15" t="s">
        <v>156</v>
      </c>
      <c r="C11" s="14" t="s">
        <v>157</v>
      </c>
      <c r="D11" s="16">
        <v>34635</v>
      </c>
      <c r="E11" s="14" t="s">
        <v>158</v>
      </c>
      <c r="F11" s="17">
        <v>34722</v>
      </c>
      <c r="G11" s="14">
        <v>34727</v>
      </c>
    </row>
    <row r="12" spans="1:11" x14ac:dyDescent="0.25">
      <c r="A12" s="12" t="s">
        <v>164</v>
      </c>
      <c r="B12" s="15" t="s">
        <v>165</v>
      </c>
      <c r="C12" s="14" t="s">
        <v>166</v>
      </c>
      <c r="D12" s="16">
        <v>34741</v>
      </c>
      <c r="E12" s="14" t="s">
        <v>167</v>
      </c>
      <c r="F12" s="17">
        <v>34759</v>
      </c>
      <c r="G12" s="14">
        <v>34759</v>
      </c>
    </row>
    <row r="13" spans="1:11" x14ac:dyDescent="0.25">
      <c r="A13" s="12" t="s">
        <v>170</v>
      </c>
      <c r="B13" s="15" t="s">
        <v>171</v>
      </c>
      <c r="C13" s="14" t="s">
        <v>172</v>
      </c>
      <c r="D13" s="16">
        <v>34889</v>
      </c>
      <c r="E13" s="14" t="s">
        <v>173</v>
      </c>
      <c r="F13" s="17">
        <v>34944</v>
      </c>
      <c r="G13" s="14">
        <v>34949</v>
      </c>
    </row>
    <row r="14" spans="1:11" x14ac:dyDescent="0.25">
      <c r="A14" s="12" t="s">
        <v>177</v>
      </c>
      <c r="B14" s="15" t="s">
        <v>178</v>
      </c>
      <c r="C14" s="14" t="s">
        <v>42</v>
      </c>
      <c r="D14" s="16" t="s">
        <v>181</v>
      </c>
      <c r="E14" s="14" t="s">
        <v>179</v>
      </c>
      <c r="F14" s="17" t="s">
        <v>182</v>
      </c>
      <c r="G14" s="14" t="s">
        <v>182</v>
      </c>
    </row>
    <row r="15" spans="1:11" x14ac:dyDescent="0.25">
      <c r="A15" s="12" t="s">
        <v>184</v>
      </c>
      <c r="B15" s="15" t="s">
        <v>185</v>
      </c>
      <c r="C15" s="14" t="s">
        <v>186</v>
      </c>
      <c r="D15" s="16" t="s">
        <v>191</v>
      </c>
      <c r="E15" s="14" t="s">
        <v>187</v>
      </c>
      <c r="F15" s="17" t="s">
        <v>192</v>
      </c>
      <c r="G15" s="14" t="s">
        <v>192</v>
      </c>
    </row>
    <row r="16" spans="1:11" x14ac:dyDescent="0.25">
      <c r="A16" s="12" t="s">
        <v>194</v>
      </c>
      <c r="B16" s="15" t="s">
        <v>195</v>
      </c>
      <c r="C16" s="14" t="s">
        <v>157</v>
      </c>
      <c r="D16" s="16">
        <v>36151</v>
      </c>
      <c r="E16" s="14" t="s">
        <v>196</v>
      </c>
      <c r="F16" s="17">
        <v>36210</v>
      </c>
      <c r="G16" s="14">
        <v>36216</v>
      </c>
    </row>
    <row r="17" spans="1:7" x14ac:dyDescent="0.25">
      <c r="A17" s="12" t="s">
        <v>199</v>
      </c>
      <c r="B17" s="15" t="s">
        <v>195</v>
      </c>
      <c r="C17" s="14" t="s">
        <v>200</v>
      </c>
      <c r="D17" s="16">
        <v>36231</v>
      </c>
      <c r="E17" s="14" t="s">
        <v>201</v>
      </c>
      <c r="F17" s="17">
        <v>36268</v>
      </c>
      <c r="G17" s="14">
        <v>36268</v>
      </c>
    </row>
    <row r="18" spans="1:7" x14ac:dyDescent="0.25">
      <c r="A18" s="12" t="s">
        <v>204</v>
      </c>
      <c r="B18" s="15" t="s">
        <v>205</v>
      </c>
      <c r="C18" s="14" t="s">
        <v>206</v>
      </c>
      <c r="D18" s="16">
        <v>36299</v>
      </c>
      <c r="E18" s="14" t="s">
        <v>207</v>
      </c>
      <c r="F18" s="17">
        <v>36360</v>
      </c>
      <c r="G18" s="14">
        <v>36381</v>
      </c>
    </row>
    <row r="19" spans="1:7" x14ac:dyDescent="0.25">
      <c r="A19" s="12" t="s">
        <v>211</v>
      </c>
      <c r="B19" s="15" t="s">
        <v>212</v>
      </c>
      <c r="C19" s="14" t="s">
        <v>213</v>
      </c>
      <c r="D19" s="16">
        <v>36389</v>
      </c>
      <c r="E19" s="14" t="s">
        <v>214</v>
      </c>
      <c r="F19" s="17">
        <v>36489</v>
      </c>
      <c r="G19" s="14">
        <v>36519</v>
      </c>
    </row>
    <row r="20" spans="1:7" x14ac:dyDescent="0.25">
      <c r="A20" s="12" t="s">
        <v>220</v>
      </c>
      <c r="B20" s="15" t="s">
        <v>221</v>
      </c>
      <c r="C20" s="14" t="s">
        <v>222</v>
      </c>
      <c r="D20" s="16" t="s">
        <v>227</v>
      </c>
      <c r="E20" s="14" t="s">
        <v>223</v>
      </c>
      <c r="F20" s="17" t="s">
        <v>228</v>
      </c>
      <c r="G20" s="14" t="s">
        <v>229</v>
      </c>
    </row>
    <row r="21" spans="1:7" x14ac:dyDescent="0.25">
      <c r="A21" s="12" t="s">
        <v>233</v>
      </c>
      <c r="B21" s="15" t="s">
        <v>234</v>
      </c>
      <c r="C21" s="14" t="s">
        <v>235</v>
      </c>
      <c r="D21" s="16">
        <v>36638</v>
      </c>
      <c r="E21" s="14" t="s">
        <v>236</v>
      </c>
      <c r="F21" s="17">
        <v>36746</v>
      </c>
      <c r="G21" s="14">
        <v>36746</v>
      </c>
    </row>
    <row r="22" spans="1:7" x14ac:dyDescent="0.25">
      <c r="A22" s="12" t="s">
        <v>238</v>
      </c>
      <c r="B22" s="15" t="s">
        <v>239</v>
      </c>
      <c r="C22" s="14" t="s">
        <v>240</v>
      </c>
      <c r="D22" s="16">
        <v>36750</v>
      </c>
      <c r="E22" s="14" t="s">
        <v>241</v>
      </c>
      <c r="F22" s="17">
        <v>36822</v>
      </c>
      <c r="G22" s="14">
        <v>36822</v>
      </c>
    </row>
    <row r="23" spans="1:7" x14ac:dyDescent="0.25">
      <c r="A23" s="12" t="s">
        <v>243</v>
      </c>
      <c r="B23" s="15" t="s">
        <v>239</v>
      </c>
      <c r="C23" s="14" t="s">
        <v>244</v>
      </c>
      <c r="D23" s="16">
        <v>36845</v>
      </c>
      <c r="E23" s="14" t="s">
        <v>245</v>
      </c>
      <c r="F23" s="17">
        <v>36881</v>
      </c>
      <c r="G23" s="14">
        <v>36885</v>
      </c>
    </row>
    <row r="24" spans="1:7" x14ac:dyDescent="0.25">
      <c r="A24" s="12" t="s">
        <v>251</v>
      </c>
      <c r="B24" s="15" t="s">
        <v>252</v>
      </c>
      <c r="C24" s="14" t="s">
        <v>253</v>
      </c>
      <c r="D24" s="16">
        <v>36915</v>
      </c>
      <c r="E24" s="14" t="s">
        <v>254</v>
      </c>
      <c r="F24" s="17">
        <v>36971</v>
      </c>
      <c r="G24" s="14">
        <v>37019</v>
      </c>
    </row>
    <row r="25" spans="1:7" x14ac:dyDescent="0.25">
      <c r="A25" s="12" t="s">
        <v>258</v>
      </c>
      <c r="B25" s="15" t="s">
        <v>259</v>
      </c>
      <c r="C25" s="14" t="s">
        <v>260</v>
      </c>
      <c r="D25" s="16">
        <v>37026</v>
      </c>
      <c r="E25" s="14" t="s">
        <v>261</v>
      </c>
      <c r="F25" s="17">
        <v>37129</v>
      </c>
      <c r="G25" s="14">
        <v>37145</v>
      </c>
    </row>
    <row r="26" spans="1:7" x14ac:dyDescent="0.25">
      <c r="A26" s="12" t="s">
        <v>267</v>
      </c>
      <c r="B26" s="15" t="s">
        <v>268</v>
      </c>
      <c r="C26" s="14" t="s">
        <v>141</v>
      </c>
      <c r="D26" s="16">
        <v>37159</v>
      </c>
      <c r="E26" s="14" t="s">
        <v>269</v>
      </c>
      <c r="F26" s="17">
        <v>37261</v>
      </c>
      <c r="G26" s="14">
        <v>37261</v>
      </c>
    </row>
    <row r="27" spans="1:7" x14ac:dyDescent="0.25">
      <c r="A27" s="12" t="s">
        <v>272</v>
      </c>
      <c r="B27" s="15" t="s">
        <v>273</v>
      </c>
      <c r="C27" s="14" t="s">
        <v>274</v>
      </c>
      <c r="D27" s="16">
        <v>37433</v>
      </c>
      <c r="E27" s="14" t="s">
        <v>269</v>
      </c>
      <c r="F27" s="17">
        <v>37478</v>
      </c>
      <c r="G27" s="14">
        <v>37478</v>
      </c>
    </row>
    <row r="28" spans="1:7" x14ac:dyDescent="0.25">
      <c r="A28" s="12" t="s">
        <v>277</v>
      </c>
      <c r="B28" s="15" t="s">
        <v>278</v>
      </c>
      <c r="C28" s="14" t="s">
        <v>279</v>
      </c>
      <c r="D28" s="16">
        <v>37478</v>
      </c>
      <c r="E28" s="14" t="s">
        <v>280</v>
      </c>
      <c r="F28" s="17">
        <v>37593</v>
      </c>
      <c r="G28" s="14">
        <v>37593</v>
      </c>
    </row>
    <row r="29" spans="1:7" x14ac:dyDescent="0.25">
      <c r="A29" s="12" t="s">
        <v>283</v>
      </c>
      <c r="B29" s="15" t="s">
        <v>284</v>
      </c>
      <c r="C29" s="14" t="s">
        <v>40</v>
      </c>
      <c r="D29" s="16">
        <v>37614</v>
      </c>
      <c r="E29" s="14" t="s">
        <v>285</v>
      </c>
      <c r="F29" s="17">
        <v>37735</v>
      </c>
      <c r="G29" s="14">
        <v>37737</v>
      </c>
    </row>
    <row r="30" spans="1:7" x14ac:dyDescent="0.25">
      <c r="A30" s="12" t="s">
        <v>291</v>
      </c>
      <c r="B30" s="15" t="s">
        <v>292</v>
      </c>
      <c r="C30" s="14" t="s">
        <v>158</v>
      </c>
      <c r="D30" s="16">
        <v>37783</v>
      </c>
      <c r="E30" s="14" t="s">
        <v>293</v>
      </c>
      <c r="F30" s="17">
        <v>37810</v>
      </c>
      <c r="G30" s="14">
        <v>37810</v>
      </c>
    </row>
    <row r="31" spans="1:7" x14ac:dyDescent="0.25">
      <c r="A31" s="12" t="s">
        <v>296</v>
      </c>
      <c r="B31" s="15" t="s">
        <v>297</v>
      </c>
      <c r="C31" s="14" t="s">
        <v>298</v>
      </c>
      <c r="D31" s="16">
        <v>37831</v>
      </c>
      <c r="E31" s="14" t="s">
        <v>299</v>
      </c>
      <c r="F31" s="17">
        <v>37883</v>
      </c>
      <c r="G31" s="14">
        <v>37883</v>
      </c>
    </row>
    <row r="32" spans="1:7" x14ac:dyDescent="0.25">
      <c r="A32" s="12" t="s">
        <v>302</v>
      </c>
      <c r="B32" s="15" t="s">
        <v>303</v>
      </c>
      <c r="C32" s="14" t="s">
        <v>304</v>
      </c>
      <c r="D32" s="16">
        <v>37943</v>
      </c>
      <c r="E32" s="14" t="s">
        <v>305</v>
      </c>
      <c r="F32" s="17">
        <v>38117</v>
      </c>
      <c r="G32" s="14">
        <v>38117</v>
      </c>
    </row>
    <row r="33" spans="1:7" x14ac:dyDescent="0.25">
      <c r="A33" s="12" t="s">
        <v>308</v>
      </c>
      <c r="B33" s="15" t="s">
        <v>309</v>
      </c>
      <c r="C33" s="14" t="s">
        <v>310</v>
      </c>
      <c r="D33" s="16">
        <v>38117</v>
      </c>
      <c r="E33" s="14" t="s">
        <v>311</v>
      </c>
      <c r="F33" s="17">
        <v>38208</v>
      </c>
      <c r="G33" s="14">
        <v>38208</v>
      </c>
    </row>
    <row r="34" spans="1:7" x14ac:dyDescent="0.25">
      <c r="A34" s="12" t="s">
        <v>313</v>
      </c>
      <c r="B34" s="15" t="s">
        <v>314</v>
      </c>
      <c r="C34" s="14" t="s">
        <v>315</v>
      </c>
      <c r="D34" s="16" t="s">
        <v>319</v>
      </c>
      <c r="E34" s="14" t="s">
        <v>316</v>
      </c>
      <c r="F34" s="17" t="s">
        <v>320</v>
      </c>
      <c r="G34" s="14" t="s">
        <v>320</v>
      </c>
    </row>
    <row r="35" spans="1:7" x14ac:dyDescent="0.25">
      <c r="A35" s="12" t="s">
        <v>321</v>
      </c>
      <c r="B35" s="15" t="s">
        <v>322</v>
      </c>
      <c r="C35" s="14" t="s">
        <v>323</v>
      </c>
      <c r="D35" s="16">
        <v>38371</v>
      </c>
      <c r="E35" s="14" t="s">
        <v>146</v>
      </c>
      <c r="F35" s="17">
        <v>38410</v>
      </c>
      <c r="G35" s="14">
        <v>38410</v>
      </c>
    </row>
    <row r="36" spans="1:7" x14ac:dyDescent="0.25">
      <c r="A36" s="12" t="s">
        <v>325</v>
      </c>
      <c r="B36" s="15" t="s">
        <v>322</v>
      </c>
      <c r="C36" s="14" t="s">
        <v>253</v>
      </c>
      <c r="D36" s="16">
        <v>38410</v>
      </c>
      <c r="E36" s="14" t="s">
        <v>326</v>
      </c>
      <c r="F36" s="17">
        <v>38458</v>
      </c>
      <c r="G36" s="14">
        <v>38458</v>
      </c>
    </row>
    <row r="37" spans="1:7" x14ac:dyDescent="0.25">
      <c r="A37" s="12" t="s">
        <v>328</v>
      </c>
      <c r="B37" s="15" t="s">
        <v>329</v>
      </c>
      <c r="C37" s="14" t="s">
        <v>330</v>
      </c>
      <c r="D37" s="16">
        <v>38511</v>
      </c>
      <c r="E37" s="14" t="s">
        <v>331</v>
      </c>
      <c r="F37" s="17">
        <v>38622</v>
      </c>
      <c r="G37" s="14">
        <v>38622</v>
      </c>
    </row>
    <row r="38" spans="1:7" x14ac:dyDescent="0.25">
      <c r="A38" s="12" t="s">
        <v>334</v>
      </c>
      <c r="B38" s="15" t="s">
        <v>335</v>
      </c>
      <c r="C38" s="14" t="s">
        <v>157</v>
      </c>
      <c r="D38" s="16">
        <v>38666</v>
      </c>
      <c r="E38" s="14" t="s">
        <v>42</v>
      </c>
      <c r="F38" s="17">
        <v>38680</v>
      </c>
      <c r="G38" s="14">
        <v>38680</v>
      </c>
    </row>
    <row r="39" spans="1:7" x14ac:dyDescent="0.25">
      <c r="A39" s="12" t="s">
        <v>338</v>
      </c>
      <c r="B39" s="15" t="s">
        <v>339</v>
      </c>
      <c r="C39" s="14" t="s">
        <v>340</v>
      </c>
      <c r="D39" s="16">
        <v>38839</v>
      </c>
      <c r="E39" s="14" t="s">
        <v>341</v>
      </c>
      <c r="F39" s="17">
        <v>38897</v>
      </c>
      <c r="G39" s="14">
        <v>38897</v>
      </c>
    </row>
    <row r="40" spans="1:7" x14ac:dyDescent="0.25">
      <c r="A40" s="12" t="s">
        <v>343</v>
      </c>
      <c r="B40" s="15" t="s">
        <v>344</v>
      </c>
      <c r="C40" s="14" t="s">
        <v>345</v>
      </c>
      <c r="D40" s="16">
        <v>38963</v>
      </c>
      <c r="E40" s="14" t="s">
        <v>167</v>
      </c>
      <c r="F40" s="17">
        <v>38976</v>
      </c>
      <c r="G40" s="14">
        <v>38976</v>
      </c>
    </row>
    <row r="41" spans="1:7" x14ac:dyDescent="0.25">
      <c r="A41" s="12" t="s">
        <v>348</v>
      </c>
      <c r="B41" s="15" t="s">
        <v>344</v>
      </c>
      <c r="C41" s="14" t="s">
        <v>349</v>
      </c>
      <c r="D41" s="16">
        <v>38976</v>
      </c>
      <c r="E41" s="14" t="s">
        <v>311</v>
      </c>
      <c r="F41" s="17">
        <v>39028</v>
      </c>
      <c r="G41" s="14">
        <v>39028</v>
      </c>
    </row>
    <row r="42" spans="1:7" x14ac:dyDescent="0.25">
      <c r="A42" s="12" t="s">
        <v>351</v>
      </c>
      <c r="B42" s="15" t="s">
        <v>111</v>
      </c>
      <c r="C42" s="14" t="s">
        <v>352</v>
      </c>
      <c r="D42" s="16">
        <v>39056</v>
      </c>
      <c r="E42" s="14" t="s">
        <v>353</v>
      </c>
      <c r="F42" s="17">
        <v>39075</v>
      </c>
      <c r="G42" s="14">
        <v>39075</v>
      </c>
    </row>
    <row r="43" spans="1:7" x14ac:dyDescent="0.25">
      <c r="A43" s="12" t="s">
        <v>357</v>
      </c>
      <c r="B43" s="15" t="s">
        <v>113</v>
      </c>
      <c r="C43" s="14" t="s">
        <v>358</v>
      </c>
      <c r="D43" s="16">
        <v>39203</v>
      </c>
      <c r="E43" s="14" t="s">
        <v>359</v>
      </c>
      <c r="F43" s="17">
        <v>39290</v>
      </c>
      <c r="G43" s="14">
        <v>39309</v>
      </c>
    </row>
    <row r="44" spans="1:7" x14ac:dyDescent="0.25">
      <c r="A44" s="12" t="s">
        <v>362</v>
      </c>
      <c r="B44" s="15" t="s">
        <v>363</v>
      </c>
      <c r="C44" s="14" t="s">
        <v>310</v>
      </c>
      <c r="D44" s="16">
        <v>39378</v>
      </c>
      <c r="E44" s="14" t="s">
        <v>364</v>
      </c>
      <c r="F44" s="17">
        <v>39454</v>
      </c>
      <c r="G44" s="14">
        <v>39462</v>
      </c>
    </row>
    <row r="45" spans="1:7" x14ac:dyDescent="0.25">
      <c r="A45" s="12" t="s">
        <v>369</v>
      </c>
      <c r="B45" s="15" t="s">
        <v>370</v>
      </c>
      <c r="C45" s="14" t="s">
        <v>371</v>
      </c>
      <c r="D45" s="16">
        <v>39570</v>
      </c>
      <c r="E45" s="14" t="s">
        <v>372</v>
      </c>
      <c r="F45" s="17">
        <v>39698</v>
      </c>
      <c r="G45" s="14">
        <v>39720</v>
      </c>
    </row>
    <row r="46" spans="1:7" x14ac:dyDescent="0.25">
      <c r="A46" s="12" t="s">
        <v>378</v>
      </c>
      <c r="B46" s="15" t="s">
        <v>379</v>
      </c>
      <c r="C46" s="14" t="s">
        <v>380</v>
      </c>
      <c r="D46" s="16">
        <v>39762</v>
      </c>
      <c r="E46" s="14" t="s">
        <v>381</v>
      </c>
      <c r="F46" s="17">
        <v>39809</v>
      </c>
      <c r="G46" s="14">
        <v>39809</v>
      </c>
    </row>
    <row r="47" spans="1:7" x14ac:dyDescent="0.25">
      <c r="A47" s="12" t="s">
        <v>384</v>
      </c>
      <c r="B47" s="15" t="s">
        <v>385</v>
      </c>
      <c r="C47" s="14" t="s">
        <v>386</v>
      </c>
      <c r="D47" s="16">
        <v>39842</v>
      </c>
      <c r="E47" s="14" t="s">
        <v>253</v>
      </c>
      <c r="F47" s="17">
        <v>39871</v>
      </c>
      <c r="G47" s="14">
        <v>39873</v>
      </c>
    </row>
    <row r="48" spans="1:7" x14ac:dyDescent="0.25">
      <c r="A48" s="12" t="s">
        <v>392</v>
      </c>
      <c r="B48" s="15" t="s">
        <v>391</v>
      </c>
      <c r="C48" s="14" t="s">
        <v>280</v>
      </c>
      <c r="D48" s="16">
        <v>39918</v>
      </c>
      <c r="E48" s="14" t="s">
        <v>393</v>
      </c>
      <c r="F48" s="17">
        <v>40017</v>
      </c>
      <c r="G48" s="14">
        <v>40020</v>
      </c>
    </row>
    <row r="49" spans="1:7" x14ac:dyDescent="0.25">
      <c r="A49" s="12" t="s">
        <v>396</v>
      </c>
      <c r="B49" s="15" t="s">
        <v>397</v>
      </c>
      <c r="C49" s="14" t="s">
        <v>398</v>
      </c>
      <c r="D49" s="16">
        <v>40314</v>
      </c>
      <c r="E49" s="14" t="s">
        <v>359</v>
      </c>
      <c r="F49" s="17">
        <v>40417</v>
      </c>
      <c r="G49" s="14">
        <v>40434</v>
      </c>
    </row>
    <row r="50" spans="1:7" x14ac:dyDescent="0.25">
      <c r="A50" s="12" t="s">
        <v>403</v>
      </c>
      <c r="B50" s="15" t="s">
        <v>404</v>
      </c>
      <c r="C50" s="14" t="s">
        <v>405</v>
      </c>
      <c r="D50" s="16">
        <v>40452</v>
      </c>
      <c r="E50" s="14" t="s">
        <v>326</v>
      </c>
      <c r="F50" s="17">
        <v>40500</v>
      </c>
      <c r="G50" s="14">
        <v>40503</v>
      </c>
    </row>
    <row r="51" spans="1:7" x14ac:dyDescent="0.25">
      <c r="A51" s="12" t="s">
        <v>409</v>
      </c>
      <c r="B51" s="15" t="s">
        <v>410</v>
      </c>
      <c r="C51" s="14" t="s">
        <v>411</v>
      </c>
      <c r="D51" s="16">
        <v>40529</v>
      </c>
      <c r="E51" s="14" t="s">
        <v>412</v>
      </c>
      <c r="F51" s="17">
        <v>40603</v>
      </c>
      <c r="G51" s="14">
        <v>40605</v>
      </c>
    </row>
    <row r="52" spans="1:7" x14ac:dyDescent="0.25">
      <c r="A52" s="12" t="s">
        <v>416</v>
      </c>
      <c r="B52" s="15" t="s">
        <v>417</v>
      </c>
      <c r="C52" s="14" t="s">
        <v>418</v>
      </c>
      <c r="D52" s="16">
        <v>40643</v>
      </c>
      <c r="E52" s="14" t="s">
        <v>419</v>
      </c>
      <c r="F52" s="17">
        <v>40755</v>
      </c>
      <c r="G52" s="14">
        <v>40783</v>
      </c>
    </row>
    <row r="60" spans="1:7" x14ac:dyDescent="0.25">
      <c r="A60" s="8"/>
    </row>
    <row r="63" spans="1:7" x14ac:dyDescent="0.25">
      <c r="B63" s="8"/>
    </row>
  </sheetData>
  <mergeCells count="1">
    <mergeCell ref="A1:C1"/>
  </mergeCells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4"/>
  <sheetViews>
    <sheetView workbookViewId="0">
      <selection activeCell="F12" sqref="F12"/>
    </sheetView>
  </sheetViews>
  <sheetFormatPr baseColWidth="10" defaultRowHeight="15" x14ac:dyDescent="0.25"/>
  <cols>
    <col min="1" max="1" width="18" customWidth="1"/>
    <col min="4" max="4" width="13" customWidth="1"/>
    <col min="5" max="5" width="15.42578125" customWidth="1"/>
  </cols>
  <sheetData>
    <row r="1" spans="1:8" x14ac:dyDescent="0.25">
      <c r="A1" s="49" t="s">
        <v>23</v>
      </c>
      <c r="B1" s="49"/>
      <c r="C1" s="49"/>
    </row>
    <row r="3" spans="1:8" x14ac:dyDescent="0.25">
      <c r="A3" s="6" t="s">
        <v>14</v>
      </c>
      <c r="B3" s="5" t="s">
        <v>15</v>
      </c>
      <c r="C3" s="5" t="s">
        <v>16</v>
      </c>
      <c r="D3" s="5" t="s">
        <v>17</v>
      </c>
      <c r="E3" s="5" t="s">
        <v>21</v>
      </c>
      <c r="F3" s="5" t="s">
        <v>18</v>
      </c>
      <c r="G3" s="5" t="s">
        <v>19</v>
      </c>
      <c r="H3" s="5" t="s">
        <v>20</v>
      </c>
    </row>
    <row r="4" spans="1:8" x14ac:dyDescent="0.25">
      <c r="A4" s="12"/>
      <c r="B4" s="48"/>
      <c r="E4" s="4"/>
    </row>
  </sheetData>
  <mergeCells count="1">
    <mergeCell ref="A1:C1"/>
  </mergeCells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8"/>
  <sheetViews>
    <sheetView workbookViewId="0">
      <selection activeCell="E26" sqref="E26"/>
    </sheetView>
  </sheetViews>
  <sheetFormatPr baseColWidth="10" defaultRowHeight="15" x14ac:dyDescent="0.25"/>
  <cols>
    <col min="4" max="4" width="12.28515625" customWidth="1"/>
    <col min="5" max="5" width="12.5703125" customWidth="1"/>
    <col min="6" max="6" width="12.42578125" customWidth="1"/>
    <col min="7" max="7" width="16.42578125" customWidth="1"/>
    <col min="8" max="8" width="21.7109375" bestFit="1" customWidth="1"/>
    <col min="10" max="10" width="12.7109375" customWidth="1"/>
    <col min="11" max="11" width="12.5703125" customWidth="1"/>
  </cols>
  <sheetData>
    <row r="1" spans="1:9" x14ac:dyDescent="0.25">
      <c r="A1" s="49" t="s">
        <v>56</v>
      </c>
      <c r="B1" s="49"/>
      <c r="C1" s="49"/>
    </row>
    <row r="3" spans="1:9" x14ac:dyDescent="0.25">
      <c r="A3" s="6" t="s">
        <v>98</v>
      </c>
      <c r="B3" s="7" t="s">
        <v>44</v>
      </c>
      <c r="C3" s="7" t="s">
        <v>52</v>
      </c>
      <c r="D3" s="7" t="s">
        <v>47</v>
      </c>
      <c r="E3" s="7" t="s">
        <v>48</v>
      </c>
      <c r="F3" s="7" t="s">
        <v>49</v>
      </c>
      <c r="G3" s="7" t="s">
        <v>50</v>
      </c>
      <c r="H3" s="7" t="s">
        <v>51</v>
      </c>
      <c r="I3" s="10"/>
    </row>
    <row r="4" spans="1:9" x14ac:dyDescent="0.25">
      <c r="A4" s="6" t="s">
        <v>110</v>
      </c>
      <c r="B4" s="34" t="s">
        <v>111</v>
      </c>
      <c r="C4" s="35">
        <v>39010</v>
      </c>
      <c r="D4" s="33" t="s">
        <v>45</v>
      </c>
      <c r="E4" s="34" t="s">
        <v>46</v>
      </c>
      <c r="F4" s="36">
        <v>137.19999999999999</v>
      </c>
      <c r="G4" s="35">
        <v>21.8</v>
      </c>
      <c r="H4" s="36">
        <v>3000</v>
      </c>
    </row>
    <row r="5" spans="1:9" x14ac:dyDescent="0.25">
      <c r="A5" s="6" t="s">
        <v>112</v>
      </c>
      <c r="B5" s="34" t="s">
        <v>113</v>
      </c>
      <c r="C5" s="35">
        <v>39272</v>
      </c>
      <c r="D5" s="33" t="s">
        <v>45</v>
      </c>
      <c r="E5" s="34" t="s">
        <v>59</v>
      </c>
      <c r="F5" s="36">
        <v>161.1</v>
      </c>
      <c r="G5" s="35">
        <v>33.520000000000003</v>
      </c>
      <c r="H5" s="36">
        <v>5400.88</v>
      </c>
    </row>
    <row r="6" spans="1:9" x14ac:dyDescent="0.25">
      <c r="A6" s="6" t="s">
        <v>114</v>
      </c>
      <c r="B6" s="34" t="s">
        <v>115</v>
      </c>
      <c r="C6" s="35">
        <v>39724</v>
      </c>
      <c r="D6" s="33" t="s">
        <v>45</v>
      </c>
      <c r="E6" s="34" t="s">
        <v>46</v>
      </c>
      <c r="F6" s="36">
        <v>145</v>
      </c>
      <c r="G6" s="35">
        <v>37.700000000000003</v>
      </c>
      <c r="H6" s="36">
        <v>5467.2</v>
      </c>
    </row>
    <row r="7" spans="1:9" x14ac:dyDescent="0.25">
      <c r="A7" s="6" t="s">
        <v>390</v>
      </c>
      <c r="B7" s="34" t="s">
        <v>391</v>
      </c>
      <c r="C7" s="35">
        <v>39985</v>
      </c>
      <c r="D7" s="33" t="s">
        <v>45</v>
      </c>
      <c r="E7" s="34" t="s">
        <v>59</v>
      </c>
      <c r="F7" s="36">
        <v>169.2</v>
      </c>
      <c r="G7" s="35">
        <v>22.07</v>
      </c>
      <c r="H7" s="36">
        <v>3284.58</v>
      </c>
    </row>
    <row r="8" spans="1:9" x14ac:dyDescent="0.25">
      <c r="A8" s="6" t="s">
        <v>415</v>
      </c>
      <c r="B8" s="34" t="s">
        <v>410</v>
      </c>
      <c r="C8" s="35">
        <v>40528</v>
      </c>
      <c r="D8" s="33" t="s">
        <v>45</v>
      </c>
      <c r="E8" s="34" t="s">
        <v>59</v>
      </c>
      <c r="F8" s="36">
        <v>178.9</v>
      </c>
      <c r="G8" s="35">
        <v>38.57</v>
      </c>
      <c r="H8" s="36">
        <v>6551.1</v>
      </c>
    </row>
    <row r="13" spans="1:9" x14ac:dyDescent="0.25">
      <c r="D13" t="s">
        <v>107</v>
      </c>
      <c r="I13" s="31"/>
    </row>
    <row r="14" spans="1:9" x14ac:dyDescent="0.25">
      <c r="I14" s="31"/>
    </row>
    <row r="16" spans="1:9" x14ac:dyDescent="0.25">
      <c r="B16" s="8">
        <v>44825</v>
      </c>
      <c r="C16">
        <v>39010</v>
      </c>
      <c r="D16" t="s">
        <v>45</v>
      </c>
      <c r="E16" t="s">
        <v>46</v>
      </c>
      <c r="F16">
        <v>137.19999999999999</v>
      </c>
      <c r="G16">
        <v>21.8</v>
      </c>
      <c r="H16">
        <v>3000</v>
      </c>
    </row>
    <row r="17" spans="2:8" x14ac:dyDescent="0.25">
      <c r="B17" s="8">
        <v>44828</v>
      </c>
      <c r="C17">
        <v>39272</v>
      </c>
      <c r="D17" t="s">
        <v>45</v>
      </c>
      <c r="E17" t="s">
        <v>59</v>
      </c>
      <c r="F17">
        <v>161.1</v>
      </c>
      <c r="G17">
        <v>33.520000000000003</v>
      </c>
      <c r="H17">
        <v>5400.88</v>
      </c>
    </row>
    <row r="18" spans="2:8" x14ac:dyDescent="0.25">
      <c r="B18" s="8">
        <v>44836</v>
      </c>
      <c r="C18">
        <v>39724</v>
      </c>
      <c r="D18" t="s">
        <v>108</v>
      </c>
      <c r="E18" t="s">
        <v>109</v>
      </c>
      <c r="F18">
        <v>145</v>
      </c>
      <c r="G18">
        <v>37.700000000000003</v>
      </c>
      <c r="H18" s="31">
        <v>5467.2</v>
      </c>
    </row>
  </sheetData>
  <mergeCells count="1">
    <mergeCell ref="A1:C1"/>
  </mergeCells>
  <phoneticPr fontId="7" type="noConversion"/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K54"/>
  <sheetViews>
    <sheetView tabSelected="1" workbookViewId="0">
      <selection activeCell="M8" sqref="M8"/>
    </sheetView>
  </sheetViews>
  <sheetFormatPr baseColWidth="10" defaultRowHeight="15" x14ac:dyDescent="0.25"/>
  <cols>
    <col min="3" max="3" width="13.42578125" customWidth="1"/>
    <col min="4" max="4" width="15.85546875" customWidth="1"/>
    <col min="6" max="6" width="11.85546875" customWidth="1"/>
    <col min="7" max="7" width="13.42578125" customWidth="1"/>
    <col min="8" max="8" width="11.5703125" customWidth="1"/>
    <col min="9" max="9" width="12.85546875" customWidth="1"/>
    <col min="10" max="10" width="14.42578125" customWidth="1"/>
  </cols>
  <sheetData>
    <row r="1" spans="1:11" x14ac:dyDescent="0.25">
      <c r="A1" s="49" t="s">
        <v>24</v>
      </c>
      <c r="B1" s="49"/>
      <c r="C1" s="49"/>
    </row>
    <row r="3" spans="1:11" x14ac:dyDescent="0.25">
      <c r="A3" s="9" t="s">
        <v>0</v>
      </c>
      <c r="B3" s="10" t="s">
        <v>25</v>
      </c>
      <c r="C3" s="10" t="s">
        <v>26</v>
      </c>
      <c r="D3" s="10" t="s">
        <v>27</v>
      </c>
      <c r="E3" s="10" t="s">
        <v>28</v>
      </c>
      <c r="F3" s="10" t="s">
        <v>29</v>
      </c>
      <c r="G3" s="10" t="s">
        <v>30</v>
      </c>
      <c r="H3" s="10" t="s">
        <v>31</v>
      </c>
      <c r="I3" s="10" t="s">
        <v>32</v>
      </c>
      <c r="J3" s="10" t="s">
        <v>33</v>
      </c>
      <c r="K3" s="5" t="s">
        <v>43</v>
      </c>
    </row>
    <row r="4" spans="1:11" x14ac:dyDescent="0.25">
      <c r="A4" s="20" t="s">
        <v>116</v>
      </c>
      <c r="B4" s="18">
        <v>28</v>
      </c>
      <c r="C4" s="18">
        <v>27</v>
      </c>
      <c r="D4" s="18" t="s">
        <v>120</v>
      </c>
      <c r="E4" s="41">
        <v>63</v>
      </c>
      <c r="F4" s="18" t="s">
        <v>121</v>
      </c>
      <c r="G4" s="41">
        <v>63</v>
      </c>
      <c r="H4" s="18" t="s">
        <v>122</v>
      </c>
      <c r="I4" s="18" t="s">
        <v>121</v>
      </c>
      <c r="J4" s="18" t="s">
        <v>122</v>
      </c>
      <c r="K4" s="13"/>
    </row>
    <row r="5" spans="1:11" x14ac:dyDescent="0.25">
      <c r="A5" s="20" t="s">
        <v>123</v>
      </c>
      <c r="B5" s="21">
        <v>29</v>
      </c>
      <c r="C5" s="19">
        <v>27</v>
      </c>
      <c r="D5" s="19" t="s">
        <v>127</v>
      </c>
      <c r="E5" s="42">
        <v>62</v>
      </c>
      <c r="F5" s="19" t="s">
        <v>121</v>
      </c>
      <c r="G5" s="42">
        <v>62</v>
      </c>
      <c r="H5" s="19" t="s">
        <v>128</v>
      </c>
      <c r="I5" s="19" t="s">
        <v>121</v>
      </c>
      <c r="J5" s="22" t="s">
        <v>128</v>
      </c>
      <c r="K5" s="16"/>
    </row>
    <row r="6" spans="1:11" x14ac:dyDescent="0.25">
      <c r="A6" s="20" t="s">
        <v>129</v>
      </c>
      <c r="B6" s="21">
        <v>30</v>
      </c>
      <c r="C6" s="19">
        <v>27</v>
      </c>
      <c r="D6" s="19" t="s">
        <v>132</v>
      </c>
      <c r="E6" s="42">
        <v>74</v>
      </c>
      <c r="F6" s="19" t="s">
        <v>121</v>
      </c>
      <c r="G6" s="42">
        <v>74</v>
      </c>
      <c r="H6" s="19" t="s">
        <v>133</v>
      </c>
      <c r="I6" s="19" t="s">
        <v>121</v>
      </c>
      <c r="J6" s="22" t="s">
        <v>133</v>
      </c>
      <c r="K6" s="16"/>
    </row>
    <row r="7" spans="1:11" x14ac:dyDescent="0.25">
      <c r="A7" s="20" t="s">
        <v>134</v>
      </c>
      <c r="B7" s="21">
        <v>1</v>
      </c>
      <c r="C7" s="19">
        <v>27</v>
      </c>
      <c r="D7" s="19" t="s">
        <v>39</v>
      </c>
      <c r="E7" s="42">
        <v>59</v>
      </c>
      <c r="F7" s="19" t="s">
        <v>121</v>
      </c>
      <c r="G7" s="42">
        <v>59</v>
      </c>
      <c r="H7" s="19" t="s">
        <v>138</v>
      </c>
      <c r="I7" s="19" t="s">
        <v>121</v>
      </c>
      <c r="J7" s="22" t="s">
        <v>138</v>
      </c>
      <c r="K7" s="16"/>
    </row>
    <row r="8" spans="1:11" x14ac:dyDescent="0.25">
      <c r="A8" s="20" t="s">
        <v>139</v>
      </c>
      <c r="B8" s="21">
        <v>4</v>
      </c>
      <c r="C8" s="19">
        <v>28</v>
      </c>
      <c r="D8" s="19" t="s">
        <v>143</v>
      </c>
      <c r="E8" s="42">
        <v>63</v>
      </c>
      <c r="F8" s="19" t="s">
        <v>121</v>
      </c>
      <c r="G8" s="42">
        <v>63</v>
      </c>
      <c r="H8" s="19" t="s">
        <v>122</v>
      </c>
      <c r="I8" s="19" t="s">
        <v>121</v>
      </c>
      <c r="J8" s="22" t="s">
        <v>122</v>
      </c>
      <c r="K8" s="16"/>
    </row>
    <row r="9" spans="1:11" x14ac:dyDescent="0.25">
      <c r="A9" s="20" t="s">
        <v>144</v>
      </c>
      <c r="B9" s="21">
        <v>5</v>
      </c>
      <c r="C9" s="19">
        <v>28</v>
      </c>
      <c r="D9" s="19" t="s">
        <v>147</v>
      </c>
      <c r="E9" s="42">
        <v>48</v>
      </c>
      <c r="F9" s="19" t="s">
        <v>121</v>
      </c>
      <c r="G9" s="42">
        <v>48</v>
      </c>
      <c r="H9" s="19" t="s">
        <v>149</v>
      </c>
      <c r="I9" s="19" t="s">
        <v>121</v>
      </c>
      <c r="J9" s="22" t="s">
        <v>149</v>
      </c>
      <c r="K9" s="16"/>
    </row>
    <row r="10" spans="1:11" x14ac:dyDescent="0.25">
      <c r="A10" s="20" t="s">
        <v>150</v>
      </c>
      <c r="B10" s="21">
        <v>11</v>
      </c>
      <c r="C10" s="19">
        <v>29</v>
      </c>
      <c r="D10" s="19" t="s">
        <v>120</v>
      </c>
      <c r="E10" s="42">
        <v>50</v>
      </c>
      <c r="F10" s="19" t="s">
        <v>121</v>
      </c>
      <c r="G10" s="42">
        <v>50</v>
      </c>
      <c r="H10" s="19" t="s">
        <v>154</v>
      </c>
      <c r="I10" s="19" t="s">
        <v>121</v>
      </c>
      <c r="J10" s="22" t="s">
        <v>154</v>
      </c>
      <c r="K10" s="16"/>
    </row>
    <row r="11" spans="1:11" x14ac:dyDescent="0.25">
      <c r="A11" s="20" t="s">
        <v>155</v>
      </c>
      <c r="B11" s="21">
        <v>12</v>
      </c>
      <c r="C11" s="19">
        <v>29</v>
      </c>
      <c r="D11" s="19" t="s">
        <v>159</v>
      </c>
      <c r="E11" s="42">
        <v>87</v>
      </c>
      <c r="F11" s="19" t="s">
        <v>160</v>
      </c>
      <c r="G11" s="42">
        <v>92</v>
      </c>
      <c r="H11" s="19" t="s">
        <v>161</v>
      </c>
      <c r="I11" s="19" t="s">
        <v>162</v>
      </c>
      <c r="J11" s="22" t="s">
        <v>163</v>
      </c>
      <c r="K11" s="16"/>
    </row>
    <row r="12" spans="1:11" x14ac:dyDescent="0.25">
      <c r="A12" s="20" t="s">
        <v>164</v>
      </c>
      <c r="B12" s="21">
        <v>13</v>
      </c>
      <c r="C12" s="19">
        <v>29</v>
      </c>
      <c r="D12" s="19" t="s">
        <v>168</v>
      </c>
      <c r="E12" s="42">
        <v>18</v>
      </c>
      <c r="F12" s="19" t="s">
        <v>121</v>
      </c>
      <c r="G12" s="42">
        <v>18</v>
      </c>
      <c r="H12" s="19" t="s">
        <v>169</v>
      </c>
      <c r="I12" s="19" t="s">
        <v>121</v>
      </c>
      <c r="J12" s="22" t="s">
        <v>169</v>
      </c>
      <c r="K12" s="16"/>
    </row>
    <row r="13" spans="1:11" x14ac:dyDescent="0.25">
      <c r="A13" s="20" t="s">
        <v>170</v>
      </c>
      <c r="B13" s="21">
        <v>16</v>
      </c>
      <c r="C13" s="19">
        <v>29</v>
      </c>
      <c r="D13" s="19" t="s">
        <v>174</v>
      </c>
      <c r="E13" s="42">
        <v>55</v>
      </c>
      <c r="F13" s="19" t="s">
        <v>160</v>
      </c>
      <c r="G13" s="42">
        <v>60</v>
      </c>
      <c r="H13" s="19" t="s">
        <v>175</v>
      </c>
      <c r="I13" s="19" t="s">
        <v>162</v>
      </c>
      <c r="J13" s="22" t="s">
        <v>176</v>
      </c>
      <c r="K13" s="16"/>
    </row>
    <row r="14" spans="1:11" x14ac:dyDescent="0.25">
      <c r="A14" s="20" t="s">
        <v>177</v>
      </c>
      <c r="B14" s="21">
        <v>20</v>
      </c>
      <c r="C14" s="19">
        <v>30</v>
      </c>
      <c r="D14" s="19" t="s">
        <v>180</v>
      </c>
      <c r="E14" s="42">
        <v>114</v>
      </c>
      <c r="F14" s="19" t="s">
        <v>121</v>
      </c>
      <c r="G14" s="42">
        <v>114</v>
      </c>
      <c r="H14" s="19" t="s">
        <v>183</v>
      </c>
      <c r="I14" s="19" t="s">
        <v>121</v>
      </c>
      <c r="J14" s="22" t="s">
        <v>183</v>
      </c>
      <c r="K14" s="16"/>
    </row>
    <row r="15" spans="1:11" x14ac:dyDescent="0.25">
      <c r="A15" s="20" t="s">
        <v>184</v>
      </c>
      <c r="B15" s="21">
        <v>26</v>
      </c>
      <c r="C15" s="19">
        <v>31</v>
      </c>
      <c r="D15" s="19" t="s">
        <v>188</v>
      </c>
      <c r="E15" s="42">
        <v>21</v>
      </c>
      <c r="F15" s="19" t="s">
        <v>121</v>
      </c>
      <c r="G15" s="42">
        <v>21</v>
      </c>
      <c r="H15" s="19" t="s">
        <v>193</v>
      </c>
      <c r="I15" s="19" t="s">
        <v>121</v>
      </c>
      <c r="J15" s="22" t="s">
        <v>193</v>
      </c>
      <c r="K15" s="16"/>
    </row>
    <row r="16" spans="1:11" x14ac:dyDescent="0.25">
      <c r="A16" s="20" t="s">
        <v>194</v>
      </c>
      <c r="B16" s="21">
        <v>28</v>
      </c>
      <c r="C16" s="19">
        <v>31</v>
      </c>
      <c r="D16" s="19" t="s">
        <v>197</v>
      </c>
      <c r="E16" s="42">
        <v>59</v>
      </c>
      <c r="F16" s="19" t="s">
        <v>189</v>
      </c>
      <c r="G16" s="42">
        <v>65</v>
      </c>
      <c r="H16" s="19" t="s">
        <v>138</v>
      </c>
      <c r="I16" s="19" t="s">
        <v>190</v>
      </c>
      <c r="J16" s="22" t="s">
        <v>198</v>
      </c>
      <c r="K16" s="16"/>
    </row>
    <row r="17" spans="1:11" x14ac:dyDescent="0.25">
      <c r="A17" s="20" t="s">
        <v>199</v>
      </c>
      <c r="B17" s="21">
        <v>28</v>
      </c>
      <c r="C17" s="19">
        <v>31</v>
      </c>
      <c r="D17" s="19" t="s">
        <v>202</v>
      </c>
      <c r="E17" s="42">
        <v>37</v>
      </c>
      <c r="F17" s="19" t="s">
        <v>121</v>
      </c>
      <c r="G17" s="42">
        <v>37</v>
      </c>
      <c r="H17" s="19" t="s">
        <v>203</v>
      </c>
      <c r="I17" s="19" t="s">
        <v>121</v>
      </c>
      <c r="J17" s="22" t="s">
        <v>203</v>
      </c>
      <c r="K17" s="16"/>
    </row>
    <row r="18" spans="1:11" x14ac:dyDescent="0.25">
      <c r="A18" s="20" t="s">
        <v>204</v>
      </c>
      <c r="B18" s="21">
        <v>29</v>
      </c>
      <c r="C18" s="19">
        <v>31</v>
      </c>
      <c r="D18" s="19" t="s">
        <v>208</v>
      </c>
      <c r="E18" s="42">
        <v>61</v>
      </c>
      <c r="F18" s="19" t="s">
        <v>41</v>
      </c>
      <c r="G18" s="42">
        <v>82</v>
      </c>
      <c r="H18" s="19" t="s">
        <v>209</v>
      </c>
      <c r="I18" s="19" t="s">
        <v>193</v>
      </c>
      <c r="J18" s="22" t="s">
        <v>210</v>
      </c>
      <c r="K18" s="16"/>
    </row>
    <row r="19" spans="1:11" x14ac:dyDescent="0.25">
      <c r="A19" s="20" t="s">
        <v>211</v>
      </c>
      <c r="B19" s="21">
        <v>30</v>
      </c>
      <c r="C19" s="19">
        <v>31</v>
      </c>
      <c r="D19" s="19" t="s">
        <v>215</v>
      </c>
      <c r="E19" s="42">
        <v>100</v>
      </c>
      <c r="F19" s="19" t="s">
        <v>216</v>
      </c>
      <c r="G19" s="42">
        <v>130</v>
      </c>
      <c r="H19" s="19" t="s">
        <v>217</v>
      </c>
      <c r="I19" s="19" t="s">
        <v>218</v>
      </c>
      <c r="J19" s="22" t="s">
        <v>219</v>
      </c>
      <c r="K19" s="16"/>
    </row>
    <row r="20" spans="1:11" x14ac:dyDescent="0.25">
      <c r="A20" s="20" t="s">
        <v>220</v>
      </c>
      <c r="B20" s="21">
        <v>1</v>
      </c>
      <c r="C20" s="19">
        <v>32</v>
      </c>
      <c r="D20" s="19" t="s">
        <v>224</v>
      </c>
      <c r="E20" s="42">
        <v>105</v>
      </c>
      <c r="F20" s="19" t="s">
        <v>230</v>
      </c>
      <c r="G20" s="42">
        <v>108</v>
      </c>
      <c r="H20" s="19" t="s">
        <v>225</v>
      </c>
      <c r="I20" s="19" t="s">
        <v>231</v>
      </c>
      <c r="J20" s="22" t="s">
        <v>232</v>
      </c>
      <c r="K20" s="16"/>
    </row>
    <row r="21" spans="1:11" x14ac:dyDescent="0.25">
      <c r="A21" s="20" t="s">
        <v>233</v>
      </c>
      <c r="B21" s="21">
        <v>2</v>
      </c>
      <c r="C21" s="19">
        <v>32</v>
      </c>
      <c r="D21" s="19" t="s">
        <v>237</v>
      </c>
      <c r="E21" s="42">
        <v>108</v>
      </c>
      <c r="F21" s="19" t="s">
        <v>121</v>
      </c>
      <c r="G21" s="42">
        <v>108</v>
      </c>
      <c r="H21" s="19" t="s">
        <v>232</v>
      </c>
      <c r="I21" s="19" t="s">
        <v>121</v>
      </c>
      <c r="J21" s="22" t="s">
        <v>232</v>
      </c>
      <c r="K21" s="16"/>
    </row>
    <row r="22" spans="1:11" x14ac:dyDescent="0.25">
      <c r="A22" s="20" t="s">
        <v>238</v>
      </c>
      <c r="B22" s="21">
        <v>4</v>
      </c>
      <c r="C22" s="19">
        <v>32</v>
      </c>
      <c r="D22" s="19" t="s">
        <v>132</v>
      </c>
      <c r="E22" s="42">
        <v>72</v>
      </c>
      <c r="F22" s="19" t="s">
        <v>121</v>
      </c>
      <c r="G22" s="42">
        <v>72</v>
      </c>
      <c r="H22" s="19" t="s">
        <v>242</v>
      </c>
      <c r="I22" s="19" t="s">
        <v>121</v>
      </c>
      <c r="J22" s="22" t="s">
        <v>242</v>
      </c>
      <c r="K22" s="16"/>
    </row>
    <row r="23" spans="1:11" x14ac:dyDescent="0.25">
      <c r="A23" s="20" t="s">
        <v>243</v>
      </c>
      <c r="B23" s="21">
        <v>4</v>
      </c>
      <c r="C23" s="19">
        <v>32</v>
      </c>
      <c r="D23" s="19" t="s">
        <v>246</v>
      </c>
      <c r="E23" s="42">
        <v>36</v>
      </c>
      <c r="F23" s="19" t="s">
        <v>247</v>
      </c>
      <c r="G23" s="42">
        <v>40</v>
      </c>
      <c r="H23" s="19" t="s">
        <v>248</v>
      </c>
      <c r="I23" s="19" t="s">
        <v>249</v>
      </c>
      <c r="J23" s="22" t="s">
        <v>250</v>
      </c>
      <c r="K23" s="16"/>
    </row>
    <row r="24" spans="1:11" x14ac:dyDescent="0.25">
      <c r="A24" s="20" t="s">
        <v>251</v>
      </c>
      <c r="B24" s="21">
        <v>5</v>
      </c>
      <c r="C24" s="19">
        <v>32</v>
      </c>
      <c r="D24" s="19" t="s">
        <v>255</v>
      </c>
      <c r="E24" s="42">
        <v>56</v>
      </c>
      <c r="F24" s="19" t="s">
        <v>148</v>
      </c>
      <c r="G24" s="42">
        <v>104</v>
      </c>
      <c r="H24" s="19" t="s">
        <v>256</v>
      </c>
      <c r="I24" s="19" t="s">
        <v>149</v>
      </c>
      <c r="J24" s="22" t="s">
        <v>257</v>
      </c>
      <c r="K24" s="16"/>
    </row>
    <row r="25" spans="1:11" x14ac:dyDescent="0.25">
      <c r="A25" s="20" t="s">
        <v>258</v>
      </c>
      <c r="B25" s="21">
        <v>6</v>
      </c>
      <c r="C25" s="19">
        <v>32</v>
      </c>
      <c r="D25" s="19" t="s">
        <v>262</v>
      </c>
      <c r="E25" s="42">
        <v>103</v>
      </c>
      <c r="F25" s="19" t="s">
        <v>263</v>
      </c>
      <c r="G25" s="42">
        <v>119</v>
      </c>
      <c r="H25" s="19" t="s">
        <v>264</v>
      </c>
      <c r="I25" s="19" t="s">
        <v>265</v>
      </c>
      <c r="J25" s="22" t="s">
        <v>266</v>
      </c>
      <c r="K25" s="16"/>
    </row>
    <row r="26" spans="1:11" x14ac:dyDescent="0.25">
      <c r="A26" s="20" t="s">
        <v>267</v>
      </c>
      <c r="B26" s="21">
        <v>8</v>
      </c>
      <c r="C26" s="19">
        <v>33</v>
      </c>
      <c r="D26" s="19" t="s">
        <v>270</v>
      </c>
      <c r="E26" s="42">
        <v>102</v>
      </c>
      <c r="F26" s="19" t="s">
        <v>121</v>
      </c>
      <c r="G26" s="42">
        <v>102</v>
      </c>
      <c r="H26" s="19" t="s">
        <v>271</v>
      </c>
      <c r="I26" s="19" t="s">
        <v>121</v>
      </c>
      <c r="J26" s="22" t="s">
        <v>271</v>
      </c>
      <c r="K26" s="16"/>
    </row>
    <row r="27" spans="1:11" x14ac:dyDescent="0.25">
      <c r="A27" s="20" t="s">
        <v>272</v>
      </c>
      <c r="B27" s="21">
        <v>16</v>
      </c>
      <c r="C27" s="19">
        <v>34</v>
      </c>
      <c r="D27" s="19" t="s">
        <v>275</v>
      </c>
      <c r="E27" s="42">
        <v>45</v>
      </c>
      <c r="F27" s="19" t="s">
        <v>121</v>
      </c>
      <c r="G27" s="42">
        <v>45</v>
      </c>
      <c r="H27" s="19" t="s">
        <v>276</v>
      </c>
      <c r="I27" s="19" t="s">
        <v>121</v>
      </c>
      <c r="J27" s="22" t="s">
        <v>276</v>
      </c>
      <c r="K27" s="16"/>
    </row>
    <row r="28" spans="1:11" x14ac:dyDescent="0.25">
      <c r="A28" s="20" t="s">
        <v>277</v>
      </c>
      <c r="B28" s="21">
        <v>17</v>
      </c>
      <c r="C28" s="19">
        <v>34</v>
      </c>
      <c r="D28" s="19" t="s">
        <v>281</v>
      </c>
      <c r="E28" s="42">
        <v>115</v>
      </c>
      <c r="F28" s="19" t="s">
        <v>121</v>
      </c>
      <c r="G28" s="42">
        <v>115</v>
      </c>
      <c r="H28" s="19" t="s">
        <v>282</v>
      </c>
      <c r="I28" s="19" t="s">
        <v>121</v>
      </c>
      <c r="J28" s="22" t="s">
        <v>282</v>
      </c>
      <c r="K28" s="16"/>
    </row>
    <row r="29" spans="1:11" x14ac:dyDescent="0.25">
      <c r="A29" s="20" t="s">
        <v>283</v>
      </c>
      <c r="B29" s="21">
        <v>18</v>
      </c>
      <c r="C29" s="19">
        <v>34</v>
      </c>
      <c r="D29" s="19" t="s">
        <v>286</v>
      </c>
      <c r="E29" s="42">
        <v>121</v>
      </c>
      <c r="F29" s="19" t="s">
        <v>287</v>
      </c>
      <c r="G29" s="42">
        <v>123</v>
      </c>
      <c r="H29" s="19" t="s">
        <v>288</v>
      </c>
      <c r="I29" s="19" t="s">
        <v>289</v>
      </c>
      <c r="J29" s="22" t="s">
        <v>290</v>
      </c>
      <c r="K29" s="16"/>
    </row>
    <row r="30" spans="1:11" x14ac:dyDescent="0.25">
      <c r="A30" s="20" t="s">
        <v>291</v>
      </c>
      <c r="B30" s="21">
        <v>24</v>
      </c>
      <c r="C30" s="19">
        <v>35</v>
      </c>
      <c r="D30" s="19" t="s">
        <v>294</v>
      </c>
      <c r="E30" s="42">
        <v>27</v>
      </c>
      <c r="F30" s="19" t="s">
        <v>121</v>
      </c>
      <c r="G30" s="42">
        <v>27</v>
      </c>
      <c r="H30" s="19" t="s">
        <v>295</v>
      </c>
      <c r="I30" s="19" t="s">
        <v>121</v>
      </c>
      <c r="J30" s="22" t="s">
        <v>295</v>
      </c>
      <c r="K30" s="16"/>
    </row>
    <row r="31" spans="1:11" x14ac:dyDescent="0.25">
      <c r="A31" s="20" t="s">
        <v>296</v>
      </c>
      <c r="B31" s="21">
        <v>25</v>
      </c>
      <c r="C31" s="19">
        <v>35</v>
      </c>
      <c r="D31" s="19" t="s">
        <v>300</v>
      </c>
      <c r="E31" s="42">
        <v>52</v>
      </c>
      <c r="F31" s="19" t="s">
        <v>121</v>
      </c>
      <c r="G31" s="42">
        <v>52</v>
      </c>
      <c r="H31" s="19" t="s">
        <v>301</v>
      </c>
      <c r="I31" s="19" t="s">
        <v>121</v>
      </c>
      <c r="J31" s="22" t="s">
        <v>301</v>
      </c>
      <c r="K31" s="16"/>
    </row>
    <row r="32" spans="1:11" x14ac:dyDescent="0.25">
      <c r="A32" s="20" t="s">
        <v>302</v>
      </c>
      <c r="B32" s="21">
        <v>31</v>
      </c>
      <c r="C32" s="19">
        <v>36</v>
      </c>
      <c r="D32" s="19" t="s">
        <v>306</v>
      </c>
      <c r="E32" s="42">
        <v>174</v>
      </c>
      <c r="F32" s="19" t="s">
        <v>121</v>
      </c>
      <c r="G32" s="42">
        <v>174</v>
      </c>
      <c r="H32" s="19" t="s">
        <v>307</v>
      </c>
      <c r="I32" s="19" t="s">
        <v>121</v>
      </c>
      <c r="J32" s="22" t="s">
        <v>307</v>
      </c>
      <c r="K32" s="16"/>
    </row>
    <row r="33" spans="1:11" x14ac:dyDescent="0.25">
      <c r="A33" s="20" t="s">
        <v>308</v>
      </c>
      <c r="B33" s="21">
        <v>3</v>
      </c>
      <c r="C33" s="19">
        <v>36</v>
      </c>
      <c r="D33" s="19" t="s">
        <v>262</v>
      </c>
      <c r="E33" s="42">
        <v>91</v>
      </c>
      <c r="F33" s="19" t="s">
        <v>121</v>
      </c>
      <c r="G33" s="42">
        <v>91</v>
      </c>
      <c r="H33" s="19" t="s">
        <v>312</v>
      </c>
      <c r="I33" s="19" t="s">
        <v>121</v>
      </c>
      <c r="J33" s="22" t="s">
        <v>312</v>
      </c>
      <c r="K33" s="16"/>
    </row>
    <row r="34" spans="1:11" x14ac:dyDescent="0.25">
      <c r="A34" s="20" t="s">
        <v>313</v>
      </c>
      <c r="B34" s="21">
        <v>4</v>
      </c>
      <c r="C34" s="19">
        <v>37</v>
      </c>
      <c r="D34" s="19" t="s">
        <v>317</v>
      </c>
      <c r="E34" s="42">
        <v>88</v>
      </c>
      <c r="F34" s="19" t="s">
        <v>121</v>
      </c>
      <c r="G34" s="42">
        <v>88</v>
      </c>
      <c r="H34" s="19" t="s">
        <v>226</v>
      </c>
      <c r="I34" s="19" t="s">
        <v>121</v>
      </c>
      <c r="J34" s="22" t="s">
        <v>226</v>
      </c>
      <c r="K34" s="16"/>
    </row>
    <row r="35" spans="1:11" x14ac:dyDescent="0.25">
      <c r="A35" s="20" t="s">
        <v>321</v>
      </c>
      <c r="B35" s="21">
        <v>7</v>
      </c>
      <c r="C35" s="19">
        <v>37</v>
      </c>
      <c r="D35" s="19" t="s">
        <v>324</v>
      </c>
      <c r="E35" s="42">
        <v>39</v>
      </c>
      <c r="F35" s="19" t="s">
        <v>121</v>
      </c>
      <c r="G35" s="42">
        <v>39</v>
      </c>
      <c r="H35" s="19" t="s">
        <v>318</v>
      </c>
      <c r="I35" s="19" t="s">
        <v>121</v>
      </c>
      <c r="J35" s="22" t="s">
        <v>318</v>
      </c>
      <c r="K35" s="16"/>
    </row>
    <row r="36" spans="1:11" x14ac:dyDescent="0.25">
      <c r="A36" s="20" t="s">
        <v>325</v>
      </c>
      <c r="B36" s="21">
        <v>7</v>
      </c>
      <c r="C36" s="19">
        <v>37</v>
      </c>
      <c r="D36" s="19" t="s">
        <v>327</v>
      </c>
      <c r="E36" s="42">
        <v>48</v>
      </c>
      <c r="F36" s="19" t="s">
        <v>121</v>
      </c>
      <c r="G36" s="42">
        <v>48</v>
      </c>
      <c r="H36" s="19" t="s">
        <v>149</v>
      </c>
      <c r="I36" s="19" t="s">
        <v>121</v>
      </c>
      <c r="J36" s="22" t="s">
        <v>149</v>
      </c>
      <c r="K36" s="16"/>
    </row>
    <row r="37" spans="1:11" x14ac:dyDescent="0.25">
      <c r="A37" s="20" t="s">
        <v>328</v>
      </c>
      <c r="B37" s="21">
        <v>10</v>
      </c>
      <c r="C37" s="19">
        <v>37</v>
      </c>
      <c r="D37" s="19" t="s">
        <v>332</v>
      </c>
      <c r="E37" s="42">
        <v>111</v>
      </c>
      <c r="F37" s="19" t="s">
        <v>121</v>
      </c>
      <c r="G37" s="42">
        <v>111</v>
      </c>
      <c r="H37" s="19" t="s">
        <v>333</v>
      </c>
      <c r="I37" s="19" t="s">
        <v>121</v>
      </c>
      <c r="J37" s="22" t="s">
        <v>333</v>
      </c>
      <c r="K37" s="16"/>
    </row>
    <row r="38" spans="1:11" x14ac:dyDescent="0.25">
      <c r="A38" s="20" t="s">
        <v>334</v>
      </c>
      <c r="B38" s="21">
        <v>11</v>
      </c>
      <c r="C38" s="19">
        <v>38</v>
      </c>
      <c r="D38" s="19" t="s">
        <v>336</v>
      </c>
      <c r="E38" s="42">
        <v>14</v>
      </c>
      <c r="F38" s="19" t="s">
        <v>121</v>
      </c>
      <c r="G38" s="42">
        <v>14</v>
      </c>
      <c r="H38" s="19" t="s">
        <v>337</v>
      </c>
      <c r="I38" s="19" t="s">
        <v>121</v>
      </c>
      <c r="J38" s="22" t="s">
        <v>337</v>
      </c>
      <c r="K38" s="16"/>
    </row>
    <row r="39" spans="1:11" x14ac:dyDescent="0.25">
      <c r="A39" s="20" t="s">
        <v>338</v>
      </c>
      <c r="B39" s="21">
        <v>17</v>
      </c>
      <c r="C39" s="19">
        <v>38</v>
      </c>
      <c r="D39" s="19" t="s">
        <v>120</v>
      </c>
      <c r="E39" s="42">
        <v>58</v>
      </c>
      <c r="F39" s="19" t="s">
        <v>121</v>
      </c>
      <c r="G39" s="42">
        <v>58</v>
      </c>
      <c r="H39" s="19" t="s">
        <v>342</v>
      </c>
      <c r="I39" s="19" t="s">
        <v>121</v>
      </c>
      <c r="J39" s="22" t="s">
        <v>342</v>
      </c>
      <c r="K39" s="16"/>
    </row>
    <row r="40" spans="1:11" x14ac:dyDescent="0.25">
      <c r="A40" s="20" t="s">
        <v>343</v>
      </c>
      <c r="B40" s="21">
        <v>20</v>
      </c>
      <c r="C40" s="19">
        <v>39</v>
      </c>
      <c r="D40" s="19" t="s">
        <v>346</v>
      </c>
      <c r="E40" s="42">
        <v>13</v>
      </c>
      <c r="F40" s="19" t="s">
        <v>121</v>
      </c>
      <c r="G40" s="42">
        <v>13</v>
      </c>
      <c r="H40" s="19" t="s">
        <v>347</v>
      </c>
      <c r="I40" s="19" t="s">
        <v>121</v>
      </c>
      <c r="J40" s="22" t="s">
        <v>347</v>
      </c>
      <c r="K40" s="16"/>
    </row>
    <row r="41" spans="1:11" x14ac:dyDescent="0.25">
      <c r="A41" s="20" t="s">
        <v>348</v>
      </c>
      <c r="B41" s="21">
        <v>20</v>
      </c>
      <c r="C41" s="19">
        <v>39</v>
      </c>
      <c r="D41" s="19" t="s">
        <v>350</v>
      </c>
      <c r="E41" s="42">
        <v>52</v>
      </c>
      <c r="F41" s="19" t="s">
        <v>121</v>
      </c>
      <c r="G41" s="42">
        <v>52</v>
      </c>
      <c r="H41" s="19" t="s">
        <v>301</v>
      </c>
      <c r="I41" s="19" t="s">
        <v>121</v>
      </c>
      <c r="J41" s="22" t="s">
        <v>301</v>
      </c>
      <c r="K41" s="16"/>
    </row>
    <row r="42" spans="1:11" x14ac:dyDescent="0.25">
      <c r="A42" s="20" t="s">
        <v>351</v>
      </c>
      <c r="B42" s="21">
        <v>21</v>
      </c>
      <c r="C42" s="19">
        <v>39</v>
      </c>
      <c r="D42" s="19" t="s">
        <v>354</v>
      </c>
      <c r="E42" s="42">
        <v>19</v>
      </c>
      <c r="F42" s="19" t="s">
        <v>121</v>
      </c>
      <c r="G42" s="42">
        <v>19</v>
      </c>
      <c r="H42" s="19" t="s">
        <v>356</v>
      </c>
      <c r="I42" s="19" t="s">
        <v>121</v>
      </c>
      <c r="J42" s="22" t="s">
        <v>356</v>
      </c>
      <c r="K42" s="16"/>
    </row>
    <row r="43" spans="1:11" x14ac:dyDescent="0.25">
      <c r="A43" s="20" t="s">
        <v>357</v>
      </c>
      <c r="B43" s="21">
        <v>24</v>
      </c>
      <c r="C43" s="19">
        <v>39</v>
      </c>
      <c r="D43" s="19" t="s">
        <v>360</v>
      </c>
      <c r="E43" s="42">
        <v>87</v>
      </c>
      <c r="F43" s="19" t="s">
        <v>355</v>
      </c>
      <c r="G43" s="42">
        <v>106</v>
      </c>
      <c r="H43" s="19" t="s">
        <v>161</v>
      </c>
      <c r="I43" s="19" t="s">
        <v>356</v>
      </c>
      <c r="J43" s="22" t="s">
        <v>361</v>
      </c>
      <c r="K43" s="16"/>
    </row>
    <row r="44" spans="1:11" x14ac:dyDescent="0.25">
      <c r="A44" s="20" t="s">
        <v>362</v>
      </c>
      <c r="B44" s="21">
        <v>27</v>
      </c>
      <c r="C44" s="19">
        <v>40</v>
      </c>
      <c r="D44" s="19" t="s">
        <v>132</v>
      </c>
      <c r="E44" s="42">
        <v>76</v>
      </c>
      <c r="F44" s="19" t="s">
        <v>365</v>
      </c>
      <c r="G44" s="42">
        <v>84</v>
      </c>
      <c r="H44" s="19" t="s">
        <v>366</v>
      </c>
      <c r="I44" s="19" t="s">
        <v>367</v>
      </c>
      <c r="J44" s="22" t="s">
        <v>368</v>
      </c>
      <c r="K44" s="16"/>
    </row>
    <row r="45" spans="1:11" x14ac:dyDescent="0.25">
      <c r="A45" s="20" t="s">
        <v>369</v>
      </c>
      <c r="B45" s="21">
        <v>1</v>
      </c>
      <c r="C45" s="19">
        <v>40</v>
      </c>
      <c r="D45" s="19" t="s">
        <v>373</v>
      </c>
      <c r="E45" s="42">
        <v>128</v>
      </c>
      <c r="F45" s="19" t="s">
        <v>374</v>
      </c>
      <c r="G45" s="42">
        <v>150</v>
      </c>
      <c r="H45" s="19" t="s">
        <v>375</v>
      </c>
      <c r="I45" s="19" t="s">
        <v>376</v>
      </c>
      <c r="J45" s="22" t="s">
        <v>377</v>
      </c>
      <c r="K45" s="16"/>
    </row>
    <row r="46" spans="1:11" x14ac:dyDescent="0.25">
      <c r="A46" s="20" t="s">
        <v>378</v>
      </c>
      <c r="B46" s="21">
        <v>4</v>
      </c>
      <c r="C46" s="19">
        <v>41</v>
      </c>
      <c r="D46" s="19" t="s">
        <v>382</v>
      </c>
      <c r="E46" s="42">
        <v>47</v>
      </c>
      <c r="F46" s="19" t="s">
        <v>121</v>
      </c>
      <c r="G46" s="42">
        <v>47</v>
      </c>
      <c r="H46" s="19" t="s">
        <v>383</v>
      </c>
      <c r="I46" s="19" t="s">
        <v>121</v>
      </c>
      <c r="J46" s="22" t="s">
        <v>383</v>
      </c>
      <c r="K46" s="16"/>
    </row>
    <row r="47" spans="1:11" x14ac:dyDescent="0.25">
      <c r="A47" s="20" t="s">
        <v>384</v>
      </c>
      <c r="B47" s="21">
        <v>6</v>
      </c>
      <c r="C47" s="19">
        <v>41</v>
      </c>
      <c r="D47" s="19" t="s">
        <v>387</v>
      </c>
      <c r="E47" s="42">
        <v>29</v>
      </c>
      <c r="F47" s="19" t="s">
        <v>287</v>
      </c>
      <c r="G47" s="42">
        <v>31</v>
      </c>
      <c r="H47" s="19" t="s">
        <v>388</v>
      </c>
      <c r="I47" s="19" t="s">
        <v>289</v>
      </c>
      <c r="J47" s="22" t="s">
        <v>389</v>
      </c>
      <c r="K47" s="16"/>
    </row>
    <row r="48" spans="1:11" x14ac:dyDescent="0.25">
      <c r="A48" s="20" t="s">
        <v>392</v>
      </c>
      <c r="B48" s="21">
        <v>8</v>
      </c>
      <c r="C48" s="19">
        <v>41</v>
      </c>
      <c r="D48" s="19" t="s">
        <v>394</v>
      </c>
      <c r="E48" s="42">
        <v>99</v>
      </c>
      <c r="F48" s="19" t="s">
        <v>230</v>
      </c>
      <c r="G48" s="42">
        <v>102</v>
      </c>
      <c r="H48" s="19" t="s">
        <v>395</v>
      </c>
      <c r="I48" s="19" t="s">
        <v>231</v>
      </c>
      <c r="J48" s="22" t="s">
        <v>271</v>
      </c>
      <c r="K48" s="16"/>
    </row>
    <row r="49" spans="1:11" x14ac:dyDescent="0.25">
      <c r="A49" s="20" t="s">
        <v>396</v>
      </c>
      <c r="B49" s="21">
        <v>10</v>
      </c>
      <c r="C49" s="19">
        <v>42</v>
      </c>
      <c r="D49" s="19" t="s">
        <v>399</v>
      </c>
      <c r="E49" s="42">
        <v>103</v>
      </c>
      <c r="F49" s="19" t="s">
        <v>400</v>
      </c>
      <c r="G49" s="42">
        <v>120</v>
      </c>
      <c r="H49" s="19" t="s">
        <v>264</v>
      </c>
      <c r="I49" s="19" t="s">
        <v>401</v>
      </c>
      <c r="J49" s="22" t="s">
        <v>402</v>
      </c>
      <c r="K49" s="16"/>
    </row>
    <row r="50" spans="1:11" x14ac:dyDescent="0.25">
      <c r="A50" s="20" t="s">
        <v>403</v>
      </c>
      <c r="B50" s="21">
        <v>11</v>
      </c>
      <c r="C50" s="19">
        <v>42</v>
      </c>
      <c r="D50" s="19" t="s">
        <v>406</v>
      </c>
      <c r="E50" s="19" t="s">
        <v>148</v>
      </c>
      <c r="F50" s="19" t="s">
        <v>230</v>
      </c>
      <c r="G50" s="19" t="s">
        <v>407</v>
      </c>
      <c r="H50" s="19" t="s">
        <v>149</v>
      </c>
      <c r="I50" s="19" t="s">
        <v>231</v>
      </c>
      <c r="J50" s="22" t="s">
        <v>408</v>
      </c>
      <c r="K50" s="16"/>
    </row>
    <row r="51" spans="1:11" x14ac:dyDescent="0.25">
      <c r="A51" s="20" t="s">
        <v>409</v>
      </c>
      <c r="B51" s="21">
        <v>13</v>
      </c>
      <c r="C51" s="19">
        <v>42</v>
      </c>
      <c r="D51" s="19" t="s">
        <v>127</v>
      </c>
      <c r="E51" s="19" t="s">
        <v>413</v>
      </c>
      <c r="F51" s="19" t="s">
        <v>287</v>
      </c>
      <c r="G51" s="19" t="s">
        <v>414</v>
      </c>
      <c r="H51" s="19" t="s">
        <v>133</v>
      </c>
      <c r="I51" s="19" t="s">
        <v>289</v>
      </c>
      <c r="J51" s="22" t="s">
        <v>366</v>
      </c>
      <c r="K51" s="16"/>
    </row>
    <row r="52" spans="1:11" x14ac:dyDescent="0.25">
      <c r="A52" s="20" t="s">
        <v>416</v>
      </c>
      <c r="B52" s="21">
        <v>17</v>
      </c>
      <c r="C52" s="19">
        <v>43</v>
      </c>
      <c r="D52" s="19" t="s">
        <v>420</v>
      </c>
      <c r="E52" s="19" t="s">
        <v>421</v>
      </c>
      <c r="F52" s="19" t="s">
        <v>422</v>
      </c>
      <c r="G52" s="19" t="s">
        <v>423</v>
      </c>
      <c r="H52" s="19" t="s">
        <v>424</v>
      </c>
      <c r="I52" s="19" t="s">
        <v>425</v>
      </c>
      <c r="J52" s="22" t="s">
        <v>426</v>
      </c>
      <c r="K52" s="16"/>
    </row>
    <row r="54" spans="1:11" x14ac:dyDescent="0.25">
      <c r="D54" s="11"/>
    </row>
  </sheetData>
  <mergeCells count="1">
    <mergeCell ref="A1:C1"/>
  </mergeCell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5560B-E2CC-4E57-8E66-012B0E20D687}">
  <sheetPr codeName="Hoja7"/>
  <dimension ref="A1:G4"/>
  <sheetViews>
    <sheetView workbookViewId="0">
      <selection activeCell="A6" sqref="A6"/>
    </sheetView>
  </sheetViews>
  <sheetFormatPr baseColWidth="10" defaultRowHeight="15" x14ac:dyDescent="0.25"/>
  <cols>
    <col min="1" max="1" width="20.5703125" customWidth="1"/>
    <col min="3" max="3" width="13.42578125" customWidth="1"/>
    <col min="4" max="4" width="13.140625" customWidth="1"/>
    <col min="5" max="5" width="14.42578125" customWidth="1"/>
    <col min="8" max="8" width="13.7109375" customWidth="1"/>
  </cols>
  <sheetData>
    <row r="1" spans="1:7" x14ac:dyDescent="0.25">
      <c r="A1" s="49" t="s">
        <v>34</v>
      </c>
      <c r="B1" s="49"/>
      <c r="C1" s="49"/>
    </row>
    <row r="3" spans="1:7" x14ac:dyDescent="0.25">
      <c r="A3" s="9" t="s">
        <v>14</v>
      </c>
      <c r="B3" s="10" t="s">
        <v>25</v>
      </c>
      <c r="C3" s="10" t="s">
        <v>26</v>
      </c>
      <c r="D3" s="10" t="s">
        <v>35</v>
      </c>
      <c r="E3" s="10" t="s">
        <v>427</v>
      </c>
      <c r="F3" s="10" t="s">
        <v>36</v>
      </c>
      <c r="G3" s="10" t="s">
        <v>37</v>
      </c>
    </row>
    <row r="4" spans="1:7" x14ac:dyDescent="0.25">
      <c r="A4" s="12"/>
    </row>
  </sheetData>
  <mergeCells count="1">
    <mergeCell ref="A1:C1"/>
  </mergeCells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4E79-98FD-4CA6-AC8B-E251C65F3A97}">
  <sheetPr codeName="Hoja8"/>
  <dimension ref="A1:J8"/>
  <sheetViews>
    <sheetView workbookViewId="0">
      <selection activeCell="A3" sqref="A3"/>
    </sheetView>
  </sheetViews>
  <sheetFormatPr baseColWidth="10" defaultRowHeight="15" x14ac:dyDescent="0.25"/>
  <cols>
    <col min="2" max="2" width="12.7109375" bestFit="1" customWidth="1"/>
    <col min="3" max="3" width="13.42578125" bestFit="1" customWidth="1"/>
    <col min="4" max="4" width="24" bestFit="1" customWidth="1"/>
    <col min="5" max="5" width="25.42578125" bestFit="1" customWidth="1"/>
    <col min="6" max="6" width="27.5703125" bestFit="1" customWidth="1"/>
    <col min="7" max="7" width="16.42578125" customWidth="1"/>
    <col min="8" max="8" width="16" customWidth="1"/>
    <col min="10" max="10" width="12.7109375" customWidth="1"/>
    <col min="11" max="11" width="12.5703125" customWidth="1"/>
  </cols>
  <sheetData>
    <row r="1" spans="1:10" x14ac:dyDescent="0.25">
      <c r="A1" s="49" t="s">
        <v>55</v>
      </c>
      <c r="B1" s="49"/>
      <c r="C1" s="49"/>
      <c r="D1" s="49"/>
    </row>
    <row r="3" spans="1:10" x14ac:dyDescent="0.25">
      <c r="A3" s="6" t="s">
        <v>98</v>
      </c>
      <c r="B3" s="10" t="s">
        <v>53</v>
      </c>
      <c r="C3" s="10" t="s">
        <v>54</v>
      </c>
      <c r="D3" s="10" t="s">
        <v>87</v>
      </c>
      <c r="E3" s="10" t="s">
        <v>89</v>
      </c>
      <c r="F3" s="10" t="s">
        <v>88</v>
      </c>
      <c r="G3" s="10" t="s">
        <v>97</v>
      </c>
      <c r="H3" s="10" t="s">
        <v>99</v>
      </c>
      <c r="I3" s="10" t="s">
        <v>100</v>
      </c>
      <c r="J3" s="10" t="s">
        <v>101</v>
      </c>
    </row>
    <row r="4" spans="1:10" x14ac:dyDescent="0.25">
      <c r="A4" s="6" t="s">
        <v>110</v>
      </c>
      <c r="B4" s="10">
        <v>21</v>
      </c>
      <c r="C4" s="10">
        <v>39</v>
      </c>
      <c r="D4" s="10">
        <v>0</v>
      </c>
      <c r="E4" s="10" t="b">
        <v>1</v>
      </c>
      <c r="F4" s="37" t="b">
        <v>1</v>
      </c>
      <c r="G4" s="10" t="b">
        <v>1</v>
      </c>
      <c r="H4" s="10">
        <v>0</v>
      </c>
      <c r="I4" s="10">
        <v>0</v>
      </c>
      <c r="J4" s="10">
        <v>0</v>
      </c>
    </row>
    <row r="5" spans="1:10" x14ac:dyDescent="0.25">
      <c r="A5" s="6" t="s">
        <v>112</v>
      </c>
      <c r="B5" s="10">
        <v>24</v>
      </c>
      <c r="C5" s="10">
        <v>39</v>
      </c>
      <c r="D5" s="10">
        <v>3</v>
      </c>
      <c r="E5" s="10">
        <v>23.9</v>
      </c>
      <c r="F5" s="37">
        <v>17.419825072886301</v>
      </c>
      <c r="G5" s="10">
        <v>262</v>
      </c>
      <c r="H5" s="10">
        <v>394.35294117647101</v>
      </c>
      <c r="I5" s="10">
        <v>507.87878787878799</v>
      </c>
      <c r="J5" s="10">
        <v>465.555555555556</v>
      </c>
    </row>
    <row r="6" spans="1:10" x14ac:dyDescent="0.25">
      <c r="A6" s="6" t="s">
        <v>114</v>
      </c>
      <c r="B6" s="10">
        <v>2</v>
      </c>
      <c r="C6" s="10">
        <v>41</v>
      </c>
      <c r="D6" s="10">
        <v>8</v>
      </c>
      <c r="E6" s="10">
        <v>-16.100000000000001</v>
      </c>
      <c r="F6" s="37">
        <v>-9.9937926753569197</v>
      </c>
      <c r="G6" s="10">
        <v>452</v>
      </c>
      <c r="H6" s="10">
        <v>443.52941176470603</v>
      </c>
      <c r="I6" s="10">
        <v>571.21212121212102</v>
      </c>
      <c r="J6" s="10">
        <v>523.61111111111097</v>
      </c>
    </row>
    <row r="7" spans="1:10" x14ac:dyDescent="0.25">
      <c r="A7" s="6" t="s">
        <v>390</v>
      </c>
      <c r="B7" s="10">
        <v>8</v>
      </c>
      <c r="C7" s="10">
        <v>41</v>
      </c>
      <c r="D7" s="10">
        <v>6</v>
      </c>
      <c r="E7" s="10">
        <v>24.2</v>
      </c>
      <c r="F7" s="37">
        <v>16.689655172413801</v>
      </c>
      <c r="G7" s="10">
        <v>261</v>
      </c>
      <c r="H7" s="10">
        <v>259.64705882352899</v>
      </c>
      <c r="I7" s="10">
        <v>334.39393939393898</v>
      </c>
      <c r="J7" s="10">
        <v>306.527777777778</v>
      </c>
    </row>
    <row r="8" spans="1:10" x14ac:dyDescent="0.25">
      <c r="A8" s="6" t="s">
        <v>415</v>
      </c>
      <c r="B8" s="10">
        <v>13</v>
      </c>
      <c r="C8" s="10">
        <v>42</v>
      </c>
      <c r="D8" s="10">
        <v>5</v>
      </c>
      <c r="E8" s="10">
        <v>9.7000000000000206</v>
      </c>
      <c r="F8" s="37">
        <v>5.7328605200945697</v>
      </c>
      <c r="G8" s="10">
        <v>543</v>
      </c>
      <c r="H8" s="10">
        <v>453.76470588235298</v>
      </c>
      <c r="I8" s="10">
        <v>584.39393939393904</v>
      </c>
      <c r="J8" s="10">
        <v>535.694444444444</v>
      </c>
    </row>
  </sheetData>
  <mergeCells count="1">
    <mergeCell ref="A1:D1"/>
  </mergeCells>
  <phoneticPr fontId="7" type="noConversion"/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15"/>
  <sheetViews>
    <sheetView workbookViewId="0">
      <selection activeCell="I12" sqref="I12"/>
    </sheetView>
  </sheetViews>
  <sheetFormatPr baseColWidth="10" defaultRowHeight="15" x14ac:dyDescent="0.25"/>
  <sheetData>
    <row r="1" spans="1:9" x14ac:dyDescent="0.25">
      <c r="A1" s="50" t="s">
        <v>7</v>
      </c>
      <c r="B1" s="50"/>
      <c r="C1" s="50"/>
    </row>
    <row r="2" spans="1:9" x14ac:dyDescent="0.25">
      <c r="A2" s="51" t="s">
        <v>8</v>
      </c>
      <c r="B2" s="51"/>
      <c r="C2" s="51"/>
      <c r="D2" s="52" t="s">
        <v>104</v>
      </c>
      <c r="E2" s="53"/>
      <c r="F2" s="52" t="s">
        <v>84</v>
      </c>
      <c r="G2" s="53"/>
    </row>
    <row r="3" spans="1:9" x14ac:dyDescent="0.25">
      <c r="A3" s="1" t="s">
        <v>9</v>
      </c>
      <c r="B3" s="2">
        <v>6.6</v>
      </c>
      <c r="C3" s="3" t="s">
        <v>105</v>
      </c>
      <c r="D3" s="32">
        <f>100/B3</f>
        <v>15.151515151515152</v>
      </c>
      <c r="E3" s="3" t="s">
        <v>106</v>
      </c>
      <c r="F3" s="3">
        <v>727</v>
      </c>
      <c r="G3" s="3" t="s">
        <v>86</v>
      </c>
    </row>
    <row r="4" spans="1:9" x14ac:dyDescent="0.25">
      <c r="A4" s="1" t="s">
        <v>10</v>
      </c>
      <c r="B4" s="2">
        <v>8.5</v>
      </c>
      <c r="C4" s="3" t="s">
        <v>105</v>
      </c>
      <c r="D4" s="39">
        <f>100/B4</f>
        <v>11.764705882352942</v>
      </c>
      <c r="E4" s="3" t="s">
        <v>106</v>
      </c>
      <c r="F4" s="3">
        <v>580</v>
      </c>
      <c r="G4" s="3" t="s">
        <v>85</v>
      </c>
    </row>
    <row r="5" spans="1:9" x14ac:dyDescent="0.25">
      <c r="A5" s="1" t="s">
        <v>11</v>
      </c>
      <c r="B5" s="2">
        <v>7.2</v>
      </c>
      <c r="C5" s="3" t="s">
        <v>105</v>
      </c>
      <c r="D5" s="32">
        <f>100/B5</f>
        <v>13.888888888888889</v>
      </c>
      <c r="E5" s="3" t="s">
        <v>106</v>
      </c>
      <c r="F5" s="3">
        <v>660</v>
      </c>
      <c r="G5" s="3" t="s">
        <v>85</v>
      </c>
      <c r="I5" s="38"/>
    </row>
    <row r="7" spans="1:9" x14ac:dyDescent="0.25">
      <c r="A7" s="51" t="s">
        <v>13</v>
      </c>
      <c r="B7" s="51"/>
      <c r="C7" s="51"/>
    </row>
    <row r="8" spans="1:9" x14ac:dyDescent="0.25">
      <c r="A8" s="3" t="s">
        <v>96</v>
      </c>
      <c r="B8" s="2">
        <v>48</v>
      </c>
      <c r="C8" s="3" t="s">
        <v>12</v>
      </c>
    </row>
    <row r="11" spans="1:9" x14ac:dyDescent="0.25">
      <c r="A11" s="51" t="s">
        <v>90</v>
      </c>
      <c r="B11" s="51"/>
    </row>
    <row r="12" spans="1:9" x14ac:dyDescent="0.25">
      <c r="A12" s="3" t="s">
        <v>91</v>
      </c>
      <c r="B12" s="30" t="s">
        <v>95</v>
      </c>
    </row>
    <row r="13" spans="1:9" x14ac:dyDescent="0.25">
      <c r="A13" s="3" t="s">
        <v>92</v>
      </c>
      <c r="B13" s="30" t="s">
        <v>94</v>
      </c>
    </row>
    <row r="14" spans="1:9" x14ac:dyDescent="0.25">
      <c r="A14" s="3" t="s">
        <v>93</v>
      </c>
      <c r="B14" s="30">
        <v>2019</v>
      </c>
      <c r="G14" t="s">
        <v>102</v>
      </c>
    </row>
    <row r="15" spans="1:9" x14ac:dyDescent="0.25">
      <c r="G15" t="s">
        <v>103</v>
      </c>
    </row>
  </sheetData>
  <mergeCells count="6">
    <mergeCell ref="A1:C1"/>
    <mergeCell ref="A7:C7"/>
    <mergeCell ref="A2:C2"/>
    <mergeCell ref="F2:G2"/>
    <mergeCell ref="A11:B11"/>
    <mergeCell ref="D2:E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8CF33-D876-4D78-8D4B-FE81E8643F18}">
  <sheetPr codeName="Hoja12"/>
  <dimension ref="A1:H10"/>
  <sheetViews>
    <sheetView workbookViewId="0">
      <selection activeCell="E15" sqref="E15"/>
    </sheetView>
  </sheetViews>
  <sheetFormatPr baseColWidth="10" defaultRowHeight="15" x14ac:dyDescent="0.25"/>
  <cols>
    <col min="4" max="4" width="14" bestFit="1" customWidth="1"/>
    <col min="5" max="5" width="17.7109375" bestFit="1" customWidth="1"/>
    <col min="6" max="6" width="11" bestFit="1" customWidth="1"/>
    <col min="7" max="7" width="10.7109375" bestFit="1" customWidth="1"/>
    <col min="8" max="8" width="14.7109375" bestFit="1" customWidth="1"/>
  </cols>
  <sheetData>
    <row r="1" spans="1:8" x14ac:dyDescent="0.25">
      <c r="A1" s="50" t="s">
        <v>57</v>
      </c>
      <c r="B1" s="50"/>
      <c r="C1" s="50"/>
    </row>
    <row r="2" spans="1:8" x14ac:dyDescent="0.25">
      <c r="A2" s="55" t="s">
        <v>77</v>
      </c>
      <c r="B2" s="55"/>
      <c r="C2" s="55"/>
    </row>
    <row r="4" spans="1:8" x14ac:dyDescent="0.25">
      <c r="A4" s="24" t="s">
        <v>47</v>
      </c>
      <c r="B4" s="28" t="s">
        <v>78</v>
      </c>
      <c r="D4" s="54" t="s">
        <v>58</v>
      </c>
      <c r="E4" s="54"/>
      <c r="F4" s="54"/>
      <c r="G4" s="54"/>
      <c r="H4" s="54"/>
    </row>
    <row r="5" spans="1:8" x14ac:dyDescent="0.25">
      <c r="A5" s="23" t="s">
        <v>45</v>
      </c>
      <c r="B5" s="29" t="s">
        <v>79</v>
      </c>
      <c r="D5" s="29" t="s">
        <v>79</v>
      </c>
      <c r="E5" s="29" t="s">
        <v>80</v>
      </c>
      <c r="F5" s="29" t="s">
        <v>81</v>
      </c>
      <c r="G5" s="29" t="s">
        <v>82</v>
      </c>
      <c r="H5" s="29" t="s">
        <v>83</v>
      </c>
    </row>
    <row r="6" spans="1:8" x14ac:dyDescent="0.25">
      <c r="A6" s="23" t="s">
        <v>63</v>
      </c>
      <c r="B6" s="29" t="s">
        <v>80</v>
      </c>
      <c r="D6" s="26" t="s">
        <v>46</v>
      </c>
      <c r="E6" s="26" t="s">
        <v>46</v>
      </c>
      <c r="F6" s="26" t="s">
        <v>46</v>
      </c>
      <c r="G6" s="27" t="s">
        <v>46</v>
      </c>
      <c r="H6" s="26" t="s">
        <v>76</v>
      </c>
    </row>
    <row r="7" spans="1:8" x14ac:dyDescent="0.25">
      <c r="A7" s="23" t="s">
        <v>64</v>
      </c>
      <c r="B7" s="29" t="s">
        <v>81</v>
      </c>
      <c r="D7" s="26" t="s">
        <v>59</v>
      </c>
      <c r="E7" s="26" t="s">
        <v>67</v>
      </c>
      <c r="F7" s="26" t="s">
        <v>71</v>
      </c>
      <c r="G7" s="3"/>
      <c r="H7" s="26" t="s">
        <v>72</v>
      </c>
    </row>
    <row r="8" spans="1:8" x14ac:dyDescent="0.25">
      <c r="A8" s="23" t="s">
        <v>65</v>
      </c>
      <c r="B8" s="29" t="s">
        <v>82</v>
      </c>
      <c r="D8" s="26" t="s">
        <v>60</v>
      </c>
      <c r="E8" s="26" t="s">
        <v>68</v>
      </c>
      <c r="F8" s="26"/>
      <c r="G8" s="3"/>
      <c r="H8" s="26" t="s">
        <v>73</v>
      </c>
    </row>
    <row r="9" spans="1:8" x14ac:dyDescent="0.25">
      <c r="A9" s="25" t="s">
        <v>66</v>
      </c>
      <c r="B9" s="29" t="s">
        <v>83</v>
      </c>
      <c r="D9" s="26" t="s">
        <v>61</v>
      </c>
      <c r="E9" s="26" t="s">
        <v>70</v>
      </c>
      <c r="F9" s="26"/>
      <c r="G9" s="3"/>
      <c r="H9" s="26" t="s">
        <v>74</v>
      </c>
    </row>
    <row r="10" spans="1:8" x14ac:dyDescent="0.25">
      <c r="D10" s="27" t="s">
        <v>62</v>
      </c>
      <c r="E10" s="27" t="s">
        <v>69</v>
      </c>
      <c r="F10" s="27"/>
      <c r="G10" s="3"/>
      <c r="H10" s="27" t="s">
        <v>75</v>
      </c>
    </row>
  </sheetData>
  <mergeCells count="3">
    <mergeCell ref="D4:H4"/>
    <mergeCell ref="A2:C2"/>
    <mergeCell ref="A1:C1"/>
  </mergeCells>
  <phoneticPr fontId="7" type="noConversion"/>
  <pageMargins left="0.7" right="0.7" top="0.75" bottom="0.75" header="0.3" footer="0.3"/>
  <pageSetup paperSize="9" orientation="portrait" horizontalDpi="360" verticalDpi="36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DASHBOARD</vt:lpstr>
      <vt:lpstr>SALIDAS</vt:lpstr>
      <vt:lpstr>VIAJES</vt:lpstr>
      <vt:lpstr>CARGA-COMBUSTIBLE</vt:lpstr>
      <vt:lpstr>Hoja-TablaCalculosSalidas</vt:lpstr>
      <vt:lpstr>Hoja-TablaCalculosViajes</vt:lpstr>
      <vt:lpstr>Hoja-TablaCalculosCombustible</vt:lpstr>
      <vt:lpstr>VEHICULO</vt:lpstr>
      <vt:lpstr>DatosExtras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Billy</dc:creator>
  <cp:lastModifiedBy>Dario</cp:lastModifiedBy>
  <dcterms:created xsi:type="dcterms:W3CDTF">2022-08-11T17:43:07Z</dcterms:created>
  <dcterms:modified xsi:type="dcterms:W3CDTF">2022-10-21T15:56:17Z</dcterms:modified>
</cp:coreProperties>
</file>